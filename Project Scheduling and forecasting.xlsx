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bian\Portafolio\Pagina Web\Projects\forecasting and scheduling\"/>
    </mc:Choice>
  </mc:AlternateContent>
  <xr:revisionPtr revIDLastSave="0" documentId="13_ncr:1_{A6BE7525-63FA-443C-BEE8-DD2B7A5B31DE}" xr6:coauthVersionLast="47" xr6:coauthVersionMax="47" xr10:uidLastSave="{00000000-0000-0000-0000-000000000000}"/>
  <bookViews>
    <workbookView xWindow="41070" yWindow="1380" windowWidth="9270" windowHeight="12450" xr2:uid="{9B4EC3CD-6954-47DB-9D85-E49ECA01827B}"/>
  </bookViews>
  <sheets>
    <sheet name="FORECAST" sheetId="1" r:id="rId1"/>
    <sheet name="BREAKDOWN CALL VOLUME" sheetId="2" r:id="rId2"/>
    <sheet name="BREAKDOWN AHT" sheetId="4" r:id="rId3"/>
    <sheet name="BREAKDOWN SHRINKAGE" sheetId="5" r:id="rId4"/>
    <sheet name="REQUIREMENTS" sheetId="6" r:id="rId5"/>
  </sheets>
  <calcPr calcId="191029"/>
  <pivotCaches>
    <pivotCache cacheId="120" r:id="rId6"/>
    <pivotCache cacheId="121" r:id="rId7"/>
    <pivotCache cacheId="1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2" l="1"/>
  <c r="H66" i="5" l="1"/>
  <c r="R8" i="5" s="1"/>
  <c r="G66" i="5"/>
  <c r="Q11" i="5" s="1"/>
  <c r="F66" i="5"/>
  <c r="E66" i="5"/>
  <c r="O65" i="5" s="1"/>
  <c r="D66" i="5"/>
  <c r="N46" i="5" s="1"/>
  <c r="C66" i="5"/>
  <c r="M32" i="5" s="1"/>
  <c r="B66" i="5"/>
  <c r="L49" i="5" s="1"/>
  <c r="N55" i="5"/>
  <c r="N34" i="5"/>
  <c r="N32" i="5"/>
  <c r="N28" i="5"/>
  <c r="N10" i="5"/>
  <c r="N7" i="5"/>
  <c r="N5" i="5"/>
  <c r="M16" i="5" l="1"/>
  <c r="M12" i="5"/>
  <c r="M51" i="5"/>
  <c r="N23" i="5"/>
  <c r="M57" i="5"/>
  <c r="M28" i="5"/>
  <c r="M10" i="5"/>
  <c r="M36" i="5"/>
  <c r="O10" i="5"/>
  <c r="N19" i="5"/>
  <c r="O42" i="5"/>
  <c r="N59" i="5"/>
  <c r="O28" i="5"/>
  <c r="O57" i="5"/>
  <c r="O20" i="5"/>
  <c r="O44" i="5"/>
  <c r="O17" i="5"/>
  <c r="O38" i="5"/>
  <c r="O18" i="5"/>
  <c r="O40" i="5"/>
  <c r="O5" i="5"/>
  <c r="O12" i="5"/>
  <c r="O46" i="5"/>
  <c r="O14" i="5"/>
  <c r="O25" i="5"/>
  <c r="O34" i="5"/>
  <c r="O7" i="5"/>
  <c r="O26" i="5"/>
  <c r="O53" i="5"/>
  <c r="O8" i="5"/>
  <c r="O16" i="5"/>
  <c r="O36" i="5"/>
  <c r="Q13" i="5"/>
  <c r="N38" i="5"/>
  <c r="N51" i="5"/>
  <c r="N63" i="5"/>
  <c r="Q21" i="5"/>
  <c r="Q15" i="5"/>
  <c r="Q23" i="5"/>
  <c r="Q55" i="5"/>
  <c r="Q61" i="5"/>
  <c r="Q29" i="5"/>
  <c r="Q42" i="5"/>
  <c r="P56" i="5"/>
  <c r="P65" i="5"/>
  <c r="P57" i="5"/>
  <c r="P53" i="5"/>
  <c r="P28" i="5"/>
  <c r="P25" i="5"/>
  <c r="P20" i="5"/>
  <c r="P15" i="5"/>
  <c r="P5" i="5"/>
  <c r="P8" i="5"/>
  <c r="R18" i="5"/>
  <c r="P44" i="5"/>
  <c r="P55" i="5"/>
  <c r="R61" i="5"/>
  <c r="R21" i="5"/>
  <c r="P31" i="5"/>
  <c r="R50" i="5"/>
  <c r="R5" i="5"/>
  <c r="P12" i="5"/>
  <c r="P23" i="5"/>
  <c r="P40" i="5"/>
  <c r="P6" i="5"/>
  <c r="P32" i="5"/>
  <c r="P41" i="5"/>
  <c r="P63" i="5"/>
  <c r="P27" i="5"/>
  <c r="R34" i="5"/>
  <c r="R9" i="5"/>
  <c r="P16" i="5"/>
  <c r="P36" i="5"/>
  <c r="M63" i="5"/>
  <c r="M18" i="5"/>
  <c r="P19" i="5"/>
  <c r="P46" i="5"/>
  <c r="M7" i="5"/>
  <c r="R13" i="5"/>
  <c r="M20" i="5"/>
  <c r="M34" i="5"/>
  <c r="P47" i="5"/>
  <c r="M53" i="5"/>
  <c r="M14" i="5"/>
  <c r="M26" i="5"/>
  <c r="R29" i="5"/>
  <c r="M38" i="5"/>
  <c r="P42" i="5"/>
  <c r="P48" i="5"/>
  <c r="M5" i="5"/>
  <c r="P10" i="5"/>
  <c r="P17" i="5"/>
  <c r="P21" i="5"/>
  <c r="M30" i="5"/>
  <c r="M49" i="5"/>
  <c r="R53" i="5"/>
  <c r="P59" i="5"/>
  <c r="P18" i="5"/>
  <c r="P38" i="5"/>
  <c r="P51" i="5"/>
  <c r="R16" i="5"/>
  <c r="R37" i="5"/>
  <c r="P7" i="5"/>
  <c r="P14" i="5"/>
  <c r="P26" i="5"/>
  <c r="P30" i="5"/>
  <c r="P34" i="5"/>
  <c r="R42" i="5"/>
  <c r="P49" i="5"/>
  <c r="M55" i="5"/>
  <c r="P61" i="5"/>
  <c r="O6" i="5"/>
  <c r="N12" i="5"/>
  <c r="O32" i="5"/>
  <c r="N36" i="5"/>
  <c r="N40" i="5"/>
  <c r="N44" i="5"/>
  <c r="O49" i="5"/>
  <c r="M47" i="5"/>
  <c r="M60" i="5"/>
  <c r="M64" i="5"/>
  <c r="N9" i="5"/>
  <c r="M11" i="5"/>
  <c r="N22" i="5"/>
  <c r="N24" i="5"/>
  <c r="O30" i="5"/>
  <c r="M37" i="5"/>
  <c r="M39" i="5"/>
  <c r="O41" i="5"/>
  <c r="M43" i="5"/>
  <c r="O45" i="5"/>
  <c r="M50" i="5"/>
  <c r="M52" i="5"/>
  <c r="M54" i="5"/>
  <c r="M56" i="5"/>
  <c r="N58" i="5"/>
  <c r="O60" i="5"/>
  <c r="N62" i="5"/>
  <c r="O64" i="5"/>
  <c r="N11" i="5"/>
  <c r="O22" i="5"/>
  <c r="M29" i="5"/>
  <c r="M33" i="5"/>
  <c r="M35" i="5"/>
  <c r="O37" i="5"/>
  <c r="N43" i="5"/>
  <c r="P45" i="5"/>
  <c r="M48" i="5"/>
  <c r="N50" i="5"/>
  <c r="N52" i="5"/>
  <c r="N54" i="5"/>
  <c r="N56" i="5"/>
  <c r="O58" i="5"/>
  <c r="P60" i="5"/>
  <c r="O62" i="5"/>
  <c r="P64" i="5"/>
  <c r="N35" i="5"/>
  <c r="M9" i="5"/>
  <c r="N14" i="5"/>
  <c r="N16" i="5"/>
  <c r="N18" i="5"/>
  <c r="N20" i="5"/>
  <c r="M22" i="5"/>
  <c r="M24" i="5"/>
  <c r="N26" i="5"/>
  <c r="N30" i="5"/>
  <c r="M41" i="5"/>
  <c r="M45" i="5"/>
  <c r="N47" i="5"/>
  <c r="M58" i="5"/>
  <c r="N60" i="5"/>
  <c r="M62" i="5"/>
  <c r="N64" i="5"/>
  <c r="O9" i="5"/>
  <c r="M13" i="5"/>
  <c r="O24" i="5"/>
  <c r="N39" i="5"/>
  <c r="M6" i="5"/>
  <c r="M8" i="5"/>
  <c r="P9" i="5"/>
  <c r="O11" i="5"/>
  <c r="O13" i="5"/>
  <c r="M15" i="5"/>
  <c r="M21" i="5"/>
  <c r="P22" i="5"/>
  <c r="P24" i="5"/>
  <c r="M27" i="5"/>
  <c r="O29" i="5"/>
  <c r="M31" i="5"/>
  <c r="O33" i="5"/>
  <c r="P37" i="5"/>
  <c r="P39" i="5"/>
  <c r="M42" i="5"/>
  <c r="P43" i="5"/>
  <c r="M46" i="5"/>
  <c r="N48" i="5"/>
  <c r="O50" i="5"/>
  <c r="O52" i="5"/>
  <c r="O54" i="5"/>
  <c r="O56" i="5"/>
  <c r="P58" i="5"/>
  <c r="M61" i="5"/>
  <c r="P62" i="5"/>
  <c r="M65" i="5"/>
  <c r="N6" i="5"/>
  <c r="N8" i="5"/>
  <c r="P11" i="5"/>
  <c r="P13" i="5"/>
  <c r="N15" i="5"/>
  <c r="M17" i="5"/>
  <c r="M19" i="5"/>
  <c r="O21" i="5"/>
  <c r="M23" i="5"/>
  <c r="M25" i="5"/>
  <c r="N27" i="5"/>
  <c r="P29" i="5"/>
  <c r="N31" i="5"/>
  <c r="P33" i="5"/>
  <c r="P35" i="5"/>
  <c r="M40" i="5"/>
  <c r="N42" i="5"/>
  <c r="M44" i="5"/>
  <c r="O48" i="5"/>
  <c r="P50" i="5"/>
  <c r="P52" i="5"/>
  <c r="P54" i="5"/>
  <c r="M59" i="5"/>
  <c r="O61" i="5"/>
  <c r="L8" i="5"/>
  <c r="L17" i="5"/>
  <c r="L61" i="5"/>
  <c r="L11" i="5"/>
  <c r="L14" i="5"/>
  <c r="L38" i="5"/>
  <c r="L43" i="5"/>
  <c r="L45" i="5"/>
  <c r="L54" i="5"/>
  <c r="L7" i="5"/>
  <c r="L13" i="5"/>
  <c r="L58" i="5"/>
  <c r="L63" i="5"/>
  <c r="L65" i="5"/>
  <c r="L10" i="5"/>
  <c r="L18" i="5"/>
  <c r="L35" i="5"/>
  <c r="L37" i="5"/>
  <c r="L51" i="5"/>
  <c r="L53" i="5"/>
  <c r="L23" i="5"/>
  <c r="L30" i="5"/>
  <c r="L46" i="5"/>
  <c r="L6" i="5"/>
  <c r="L9" i="5"/>
  <c r="L15" i="5"/>
  <c r="L25" i="5"/>
  <c r="L34" i="5"/>
  <c r="L39" i="5"/>
  <c r="L41" i="5"/>
  <c r="L50" i="5"/>
  <c r="L55" i="5"/>
  <c r="L62" i="5"/>
  <c r="L27" i="5"/>
  <c r="L29" i="5"/>
  <c r="L57" i="5"/>
  <c r="L5" i="5"/>
  <c r="L22" i="5"/>
  <c r="L59" i="5"/>
  <c r="L19" i="5"/>
  <c r="L21" i="5"/>
  <c r="L26" i="5"/>
  <c r="L31" i="5"/>
  <c r="L33" i="5"/>
  <c r="L42" i="5"/>
  <c r="L47" i="5"/>
  <c r="Q64" i="5"/>
  <c r="Q60" i="5"/>
  <c r="Q56" i="5"/>
  <c r="Q52" i="5"/>
  <c r="Q48" i="5"/>
  <c r="Q44" i="5"/>
  <c r="Q40" i="5"/>
  <c r="Q36" i="5"/>
  <c r="Q32" i="5"/>
  <c r="Q28" i="5"/>
  <c r="Q24" i="5"/>
  <c r="Q20" i="5"/>
  <c r="Q16" i="5"/>
  <c r="Q12" i="5"/>
  <c r="Q9" i="5"/>
  <c r="Q5" i="5"/>
  <c r="Q57" i="5"/>
  <c r="Q25" i="5"/>
  <c r="Q22" i="5"/>
  <c r="Q65" i="5"/>
  <c r="Q62" i="5"/>
  <c r="Q54" i="5"/>
  <c r="Q38" i="5"/>
  <c r="Q17" i="5"/>
  <c r="Q14" i="5"/>
  <c r="Q10" i="5"/>
  <c r="Q6" i="5"/>
  <c r="Q49" i="5"/>
  <c r="Q46" i="5"/>
  <c r="Q41" i="5"/>
  <c r="Q33" i="5"/>
  <c r="Q30" i="5"/>
  <c r="Q59" i="5"/>
  <c r="Q51" i="5"/>
  <c r="Q43" i="5"/>
  <c r="Q35" i="5"/>
  <c r="Q27" i="5"/>
  <c r="Q19" i="5"/>
  <c r="R63" i="5"/>
  <c r="R59" i="5"/>
  <c r="R55" i="5"/>
  <c r="R51" i="5"/>
  <c r="R47" i="5"/>
  <c r="R43" i="5"/>
  <c r="R39" i="5"/>
  <c r="R35" i="5"/>
  <c r="R31" i="5"/>
  <c r="R27" i="5"/>
  <c r="R23" i="5"/>
  <c r="R19" i="5"/>
  <c r="R15" i="5"/>
  <c r="R60" i="5"/>
  <c r="R52" i="5"/>
  <c r="R44" i="5"/>
  <c r="R36" i="5"/>
  <c r="R28" i="5"/>
  <c r="R20" i="5"/>
  <c r="R12" i="5"/>
  <c r="R38" i="5"/>
  <c r="R30" i="5"/>
  <c r="R22" i="5"/>
  <c r="R6" i="5"/>
  <c r="R65" i="5"/>
  <c r="R62" i="5"/>
  <c r="R57" i="5"/>
  <c r="R54" i="5"/>
  <c r="R49" i="5"/>
  <c r="R46" i="5"/>
  <c r="R41" i="5"/>
  <c r="R33" i="5"/>
  <c r="R25" i="5"/>
  <c r="R17" i="5"/>
  <c r="R14" i="5"/>
  <c r="R10" i="5"/>
  <c r="R48" i="5"/>
  <c r="R40" i="5"/>
  <c r="R11" i="5"/>
  <c r="R7" i="5"/>
  <c r="R64" i="5"/>
  <c r="R56" i="5"/>
  <c r="R32" i="5"/>
  <c r="R24" i="5"/>
  <c r="Q34" i="5"/>
  <c r="Q47" i="5"/>
  <c r="Q53" i="5"/>
  <c r="Q39" i="5"/>
  <c r="Q45" i="5"/>
  <c r="Q58" i="5"/>
  <c r="R26" i="5"/>
  <c r="R45" i="5"/>
  <c r="R58" i="5"/>
  <c r="Q7" i="5"/>
  <c r="Q26" i="5"/>
  <c r="Q8" i="5"/>
  <c r="Q18" i="5"/>
  <c r="Q31" i="5"/>
  <c r="Q37" i="5"/>
  <c r="Q50" i="5"/>
  <c r="Q63" i="5"/>
  <c r="L64" i="5"/>
  <c r="L60" i="5"/>
  <c r="L56" i="5"/>
  <c r="L52" i="5"/>
  <c r="L48" i="5"/>
  <c r="L44" i="5"/>
  <c r="L40" i="5"/>
  <c r="L36" i="5"/>
  <c r="L32" i="5"/>
  <c r="L28" i="5"/>
  <c r="L24" i="5"/>
  <c r="L20" i="5"/>
  <c r="L16" i="5"/>
  <c r="L12" i="5"/>
  <c r="N65" i="5"/>
  <c r="N61" i="5"/>
  <c r="N57" i="5"/>
  <c r="N53" i="5"/>
  <c r="N49" i="5"/>
  <c r="N45" i="5"/>
  <c r="N41" i="5"/>
  <c r="N37" i="5"/>
  <c r="N33" i="5"/>
  <c r="N29" i="5"/>
  <c r="N25" i="5"/>
  <c r="N21" i="5"/>
  <c r="N17" i="5"/>
  <c r="N13" i="5"/>
  <c r="O15" i="5"/>
  <c r="O19" i="5"/>
  <c r="O23" i="5"/>
  <c r="O27" i="5"/>
  <c r="O31" i="5"/>
  <c r="O35" i="5"/>
  <c r="O39" i="5"/>
  <c r="O43" i="5"/>
  <c r="O47" i="5"/>
  <c r="O51" i="5"/>
  <c r="O55" i="5"/>
  <c r="O59" i="5"/>
  <c r="O63" i="5"/>
  <c r="C66" i="4"/>
  <c r="M6" i="4" s="1"/>
  <c r="D66" i="4"/>
  <c r="N6" i="4" s="1"/>
  <c r="E66" i="4"/>
  <c r="O7" i="4" s="1"/>
  <c r="F66" i="4"/>
  <c r="P44" i="4" s="1"/>
  <c r="G66" i="4"/>
  <c r="Q17" i="4" s="1"/>
  <c r="H66" i="4"/>
  <c r="R9" i="4" s="1"/>
  <c r="B66" i="4"/>
  <c r="L14" i="4" s="1"/>
  <c r="O41" i="4" l="1"/>
  <c r="M15" i="4"/>
  <c r="O48" i="4"/>
  <c r="P17" i="4"/>
  <c r="M11" i="4"/>
  <c r="O61" i="4"/>
  <c r="R34" i="4"/>
  <c r="M8" i="4"/>
  <c r="R58" i="4"/>
  <c r="M32" i="4"/>
  <c r="M35" i="4"/>
  <c r="M55" i="4"/>
  <c r="M28" i="4"/>
  <c r="M52" i="4"/>
  <c r="R26" i="4"/>
  <c r="R50" i="4"/>
  <c r="P24" i="4"/>
  <c r="N53" i="4"/>
  <c r="N43" i="4"/>
  <c r="N28" i="4"/>
  <c r="N13" i="4"/>
  <c r="N61" i="4"/>
  <c r="N11" i="4"/>
  <c r="N60" i="4"/>
  <c r="N65" i="4"/>
  <c r="N31" i="4"/>
  <c r="N64" i="4"/>
  <c r="N41" i="4"/>
  <c r="N51" i="4"/>
  <c r="N40" i="4"/>
  <c r="N23" i="4"/>
  <c r="N7" i="4"/>
  <c r="N57" i="4"/>
  <c r="N48" i="4"/>
  <c r="N33" i="4"/>
  <c r="N21" i="4"/>
  <c r="N55" i="4"/>
  <c r="N47" i="4"/>
  <c r="N20" i="4"/>
  <c r="P7" i="4"/>
  <c r="P41" i="4"/>
  <c r="P48" i="4"/>
  <c r="P61" i="4"/>
  <c r="P16" i="4"/>
  <c r="P29" i="4"/>
  <c r="P20" i="4"/>
  <c r="P21" i="4"/>
  <c r="P28" i="4"/>
  <c r="P65" i="4"/>
  <c r="P12" i="4"/>
  <c r="P56" i="4"/>
  <c r="P36" i="4"/>
  <c r="P57" i="4"/>
  <c r="P64" i="4"/>
  <c r="P8" i="4"/>
  <c r="P25" i="4"/>
  <c r="P32" i="4"/>
  <c r="P45" i="4"/>
  <c r="P52" i="4"/>
  <c r="P49" i="4"/>
  <c r="P13" i="4"/>
  <c r="P9" i="4"/>
  <c r="P33" i="4"/>
  <c r="P40" i="4"/>
  <c r="P53" i="4"/>
  <c r="P60" i="4"/>
  <c r="P37" i="4"/>
  <c r="O64" i="4"/>
  <c r="O57" i="4"/>
  <c r="M51" i="4"/>
  <c r="M48" i="4"/>
  <c r="N44" i="4"/>
  <c r="N37" i="4"/>
  <c r="M31" i="4"/>
  <c r="N27" i="4"/>
  <c r="N24" i="4"/>
  <c r="O20" i="4"/>
  <c r="N17" i="4"/>
  <c r="O13" i="4"/>
  <c r="M7" i="4"/>
  <c r="O60" i="4"/>
  <c r="M20" i="4"/>
  <c r="O16" i="4"/>
  <c r="N9" i="4"/>
  <c r="N5" i="4"/>
  <c r="N63" i="4"/>
  <c r="M60" i="4"/>
  <c r="O49" i="4"/>
  <c r="M43" i="4"/>
  <c r="M40" i="4"/>
  <c r="N36" i="4"/>
  <c r="N29" i="4"/>
  <c r="M23" i="4"/>
  <c r="N19" i="4"/>
  <c r="N16" i="4"/>
  <c r="O12" i="4"/>
  <c r="O44" i="4"/>
  <c r="O37" i="4"/>
  <c r="O17" i="4"/>
  <c r="O53" i="4"/>
  <c r="M27" i="4"/>
  <c r="M64" i="4"/>
  <c r="M47" i="4"/>
  <c r="O29" i="4"/>
  <c r="M63" i="4"/>
  <c r="N59" i="4"/>
  <c r="N56" i="4"/>
  <c r="O52" i="4"/>
  <c r="N49" i="4"/>
  <c r="O45" i="4"/>
  <c r="R42" i="4"/>
  <c r="N39" i="4"/>
  <c r="M36" i="4"/>
  <c r="O32" i="4"/>
  <c r="O25" i="4"/>
  <c r="M19" i="4"/>
  <c r="M16" i="4"/>
  <c r="N12" i="4"/>
  <c r="O8" i="4"/>
  <c r="O24" i="4"/>
  <c r="M44" i="4"/>
  <c r="O40" i="4"/>
  <c r="O33" i="4"/>
  <c r="M24" i="4"/>
  <c r="O9" i="4"/>
  <c r="M5" i="4"/>
  <c r="O36" i="4"/>
  <c r="O56" i="4"/>
  <c r="O65" i="4"/>
  <c r="M59" i="4"/>
  <c r="M56" i="4"/>
  <c r="N52" i="4"/>
  <c r="N45" i="4"/>
  <c r="M39" i="4"/>
  <c r="N35" i="4"/>
  <c r="N32" i="4"/>
  <c r="O28" i="4"/>
  <c r="N25" i="4"/>
  <c r="O21" i="4"/>
  <c r="N15" i="4"/>
  <c r="M12" i="4"/>
  <c r="N8" i="4"/>
  <c r="Q8" i="4"/>
  <c r="Q12" i="4"/>
  <c r="Q16" i="4"/>
  <c r="Q20" i="4"/>
  <c r="Q24" i="4"/>
  <c r="Q28" i="4"/>
  <c r="Q32" i="4"/>
  <c r="Q36" i="4"/>
  <c r="Q40" i="4"/>
  <c r="Q44" i="4"/>
  <c r="Q48" i="4"/>
  <c r="Q52" i="4"/>
  <c r="Q56" i="4"/>
  <c r="Q60" i="4"/>
  <c r="Q64" i="4"/>
  <c r="Q5" i="4"/>
  <c r="Q7" i="4"/>
  <c r="Q11" i="4"/>
  <c r="Q15" i="4"/>
  <c r="Q19" i="4"/>
  <c r="Q23" i="4"/>
  <c r="Q27" i="4"/>
  <c r="Q31" i="4"/>
  <c r="Q35" i="4"/>
  <c r="Q39" i="4"/>
  <c r="Q43" i="4"/>
  <c r="Q47" i="4"/>
  <c r="Q51" i="4"/>
  <c r="Q55" i="4"/>
  <c r="Q59" i="4"/>
  <c r="Q63" i="4"/>
  <c r="Q6" i="4"/>
  <c r="Q10" i="4"/>
  <c r="Q14" i="4"/>
  <c r="Q18" i="4"/>
  <c r="Q22" i="4"/>
  <c r="Q26" i="4"/>
  <c r="Q30" i="4"/>
  <c r="Q34" i="4"/>
  <c r="Q38" i="4"/>
  <c r="Q42" i="4"/>
  <c r="Q46" i="4"/>
  <c r="Q50" i="4"/>
  <c r="Q54" i="4"/>
  <c r="Q58" i="4"/>
  <c r="Q62" i="4"/>
  <c r="L60" i="4"/>
  <c r="L37" i="4"/>
  <c r="Q65" i="4"/>
  <c r="Q57" i="4"/>
  <c r="Q49" i="4"/>
  <c r="Q41" i="4"/>
  <c r="Q33" i="4"/>
  <c r="Q25" i="4"/>
  <c r="R13" i="4"/>
  <c r="L7" i="4"/>
  <c r="L15" i="4"/>
  <c r="L23" i="4"/>
  <c r="L31" i="4"/>
  <c r="L39" i="4"/>
  <c r="L47" i="4"/>
  <c r="L55" i="4"/>
  <c r="L63" i="4"/>
  <c r="L8" i="4"/>
  <c r="L16" i="4"/>
  <c r="L24" i="4"/>
  <c r="L32" i="4"/>
  <c r="L40" i="4"/>
  <c r="L48" i="4"/>
  <c r="L56" i="4"/>
  <c r="L64" i="4"/>
  <c r="L9" i="4"/>
  <c r="L17" i="4"/>
  <c r="L25" i="4"/>
  <c r="L33" i="4"/>
  <c r="L41" i="4"/>
  <c r="L49" i="4"/>
  <c r="L57" i="4"/>
  <c r="L65" i="4"/>
  <c r="L10" i="4"/>
  <c r="L18" i="4"/>
  <c r="L26" i="4"/>
  <c r="L34" i="4"/>
  <c r="L42" i="4"/>
  <c r="L50" i="4"/>
  <c r="L58" i="4"/>
  <c r="L11" i="4"/>
  <c r="L19" i="4"/>
  <c r="L27" i="4"/>
  <c r="L35" i="4"/>
  <c r="L43" i="4"/>
  <c r="L51" i="4"/>
  <c r="L59" i="4"/>
  <c r="L62" i="4"/>
  <c r="L21" i="4"/>
  <c r="L53" i="4"/>
  <c r="L30" i="4"/>
  <c r="L12" i="4"/>
  <c r="R62" i="4"/>
  <c r="R54" i="4"/>
  <c r="R46" i="4"/>
  <c r="R38" i="4"/>
  <c r="R30" i="4"/>
  <c r="R21" i="4"/>
  <c r="L52" i="4"/>
  <c r="L29" i="4"/>
  <c r="L6" i="4"/>
  <c r="R61" i="4"/>
  <c r="R53" i="4"/>
  <c r="R45" i="4"/>
  <c r="R37" i="4"/>
  <c r="R29" i="4"/>
  <c r="Q21" i="4"/>
  <c r="L46" i="4"/>
  <c r="L28" i="4"/>
  <c r="L5" i="4"/>
  <c r="Q61" i="4"/>
  <c r="Q53" i="4"/>
  <c r="Q45" i="4"/>
  <c r="Q37" i="4"/>
  <c r="Q29" i="4"/>
  <c r="Q9" i="4"/>
  <c r="L44" i="4"/>
  <c r="R5" i="4"/>
  <c r="R10" i="4"/>
  <c r="R14" i="4"/>
  <c r="R8" i="4"/>
  <c r="R12" i="4"/>
  <c r="R16" i="4"/>
  <c r="R20" i="4"/>
  <c r="R24" i="4"/>
  <c r="R28" i="4"/>
  <c r="R32" i="4"/>
  <c r="R36" i="4"/>
  <c r="R40" i="4"/>
  <c r="R44" i="4"/>
  <c r="R48" i="4"/>
  <c r="R52" i="4"/>
  <c r="R56" i="4"/>
  <c r="R60" i="4"/>
  <c r="R64" i="4"/>
  <c r="R7" i="4"/>
  <c r="R11" i="4"/>
  <c r="R15" i="4"/>
  <c r="R19" i="4"/>
  <c r="R23" i="4"/>
  <c r="R27" i="4"/>
  <c r="R31" i="4"/>
  <c r="R35" i="4"/>
  <c r="R39" i="4"/>
  <c r="R43" i="4"/>
  <c r="R47" i="4"/>
  <c r="R51" i="4"/>
  <c r="R55" i="4"/>
  <c r="R59" i="4"/>
  <c r="R63" i="4"/>
  <c r="R6" i="4"/>
  <c r="R18" i="4"/>
  <c r="R22" i="4"/>
  <c r="L61" i="4"/>
  <c r="L38" i="4"/>
  <c r="L20" i="4"/>
  <c r="R65" i="4"/>
  <c r="R57" i="4"/>
  <c r="R49" i="4"/>
  <c r="R41" i="4"/>
  <c r="R33" i="4"/>
  <c r="R25" i="4"/>
  <c r="L54" i="4"/>
  <c r="L36" i="4"/>
  <c r="L13" i="4"/>
  <c r="Q13" i="4"/>
  <c r="L45" i="4"/>
  <c r="L22" i="4"/>
  <c r="R17" i="4"/>
  <c r="O5" i="4"/>
  <c r="P62" i="4"/>
  <c r="P58" i="4"/>
  <c r="P54" i="4"/>
  <c r="P50" i="4"/>
  <c r="P46" i="4"/>
  <c r="P42" i="4"/>
  <c r="P38" i="4"/>
  <c r="P34" i="4"/>
  <c r="P30" i="4"/>
  <c r="P26" i="4"/>
  <c r="P22" i="4"/>
  <c r="P18" i="4"/>
  <c r="P14" i="4"/>
  <c r="P10" i="4"/>
  <c r="P6" i="4"/>
  <c r="P5" i="4"/>
  <c r="M65" i="4"/>
  <c r="O62" i="4"/>
  <c r="M61" i="4"/>
  <c r="O58" i="4"/>
  <c r="M57" i="4"/>
  <c r="O54" i="4"/>
  <c r="M53" i="4"/>
  <c r="O50" i="4"/>
  <c r="M49" i="4"/>
  <c r="O46" i="4"/>
  <c r="M45" i="4"/>
  <c r="O42" i="4"/>
  <c r="M41" i="4"/>
  <c r="O38" i="4"/>
  <c r="M37" i="4"/>
  <c r="O34" i="4"/>
  <c r="M33" i="4"/>
  <c r="O30" i="4"/>
  <c r="M29" i="4"/>
  <c r="O26" i="4"/>
  <c r="M25" i="4"/>
  <c r="O22" i="4"/>
  <c r="M21" i="4"/>
  <c r="O18" i="4"/>
  <c r="M17" i="4"/>
  <c r="O14" i="4"/>
  <c r="M13" i="4"/>
  <c r="O10" i="4"/>
  <c r="M9" i="4"/>
  <c r="O6" i="4"/>
  <c r="P63" i="4"/>
  <c r="N62" i="4"/>
  <c r="P59" i="4"/>
  <c r="N58" i="4"/>
  <c r="P55" i="4"/>
  <c r="N54" i="4"/>
  <c r="P51" i="4"/>
  <c r="N50" i="4"/>
  <c r="P47" i="4"/>
  <c r="N46" i="4"/>
  <c r="P43" i="4"/>
  <c r="N42" i="4"/>
  <c r="P39" i="4"/>
  <c r="N38" i="4"/>
  <c r="P35" i="4"/>
  <c r="N34" i="4"/>
  <c r="P31" i="4"/>
  <c r="N30" i="4"/>
  <c r="P27" i="4"/>
  <c r="N26" i="4"/>
  <c r="P23" i="4"/>
  <c r="N22" i="4"/>
  <c r="P19" i="4"/>
  <c r="N18" i="4"/>
  <c r="P15" i="4"/>
  <c r="N14" i="4"/>
  <c r="P11" i="4"/>
  <c r="N10" i="4"/>
  <c r="O63" i="4"/>
  <c r="M62" i="4"/>
  <c r="O59" i="4"/>
  <c r="M58" i="4"/>
  <c r="O55" i="4"/>
  <c r="M54" i="4"/>
  <c r="O51" i="4"/>
  <c r="M50" i="4"/>
  <c r="O47" i="4"/>
  <c r="M46" i="4"/>
  <c r="O43" i="4"/>
  <c r="M42" i="4"/>
  <c r="O39" i="4"/>
  <c r="M38" i="4"/>
  <c r="O35" i="4"/>
  <c r="M34" i="4"/>
  <c r="O31" i="4"/>
  <c r="M30" i="4"/>
  <c r="O27" i="4"/>
  <c r="M26" i="4"/>
  <c r="O23" i="4"/>
  <c r="M22" i="4"/>
  <c r="O19" i="4"/>
  <c r="M18" i="4"/>
  <c r="O15" i="4"/>
  <c r="M14" i="4"/>
  <c r="O11" i="4"/>
  <c r="M10" i="4"/>
  <c r="Q6" i="2" l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5" i="2"/>
  <c r="C66" i="2"/>
  <c r="D66" i="2"/>
  <c r="E66" i="2"/>
  <c r="F66" i="2"/>
  <c r="G66" i="2"/>
  <c r="G3" i="2" s="1"/>
  <c r="H66" i="2"/>
  <c r="B66" i="2"/>
  <c r="V3" i="2"/>
  <c r="AB10" i="2" l="1"/>
  <c r="H9" i="6" s="1"/>
  <c r="AB19" i="2"/>
  <c r="H18" i="6" s="1"/>
  <c r="AB28" i="2"/>
  <c r="H27" i="6" s="1"/>
  <c r="AB37" i="2"/>
  <c r="H36" i="6" s="1"/>
  <c r="AB48" i="2"/>
  <c r="H47" i="6" s="1"/>
  <c r="AB58" i="2"/>
  <c r="H57" i="6" s="1"/>
  <c r="W52" i="2"/>
  <c r="C51" i="6" s="1"/>
  <c r="AB33" i="2"/>
  <c r="H32" i="6" s="1"/>
  <c r="AB52" i="2"/>
  <c r="H51" i="6" s="1"/>
  <c r="AB47" i="2"/>
  <c r="H46" i="6" s="1"/>
  <c r="AB11" i="2"/>
  <c r="H10" i="6" s="1"/>
  <c r="AB20" i="2"/>
  <c r="H19" i="6" s="1"/>
  <c r="AB29" i="2"/>
  <c r="H28" i="6" s="1"/>
  <c r="AB39" i="2"/>
  <c r="H38" i="6" s="1"/>
  <c r="AB49" i="2"/>
  <c r="H48" i="6" s="1"/>
  <c r="AB59" i="2"/>
  <c r="H58" i="6" s="1"/>
  <c r="AA26" i="2"/>
  <c r="G25" i="6" s="1"/>
  <c r="W9" i="2"/>
  <c r="C8" i="6" s="1"/>
  <c r="AB24" i="2"/>
  <c r="H23" i="6" s="1"/>
  <c r="AB18" i="2"/>
  <c r="H17" i="6" s="1"/>
  <c r="AB57" i="2"/>
  <c r="H56" i="6" s="1"/>
  <c r="AA40" i="2"/>
  <c r="G39" i="6" s="1"/>
  <c r="AB12" i="2"/>
  <c r="H11" i="6" s="1"/>
  <c r="AB21" i="2"/>
  <c r="H20" i="6" s="1"/>
  <c r="AB31" i="2"/>
  <c r="H30" i="6" s="1"/>
  <c r="AB40" i="2"/>
  <c r="H39" i="6" s="1"/>
  <c r="AB50" i="2"/>
  <c r="H49" i="6" s="1"/>
  <c r="AB60" i="2"/>
  <c r="H59" i="6" s="1"/>
  <c r="AA28" i="2"/>
  <c r="G27" i="6" s="1"/>
  <c r="AB42" i="2"/>
  <c r="H41" i="6" s="1"/>
  <c r="X36" i="2"/>
  <c r="D35" i="6" s="1"/>
  <c r="AB13" i="2"/>
  <c r="H12" i="6" s="1"/>
  <c r="AB23" i="2"/>
  <c r="H22" i="6" s="1"/>
  <c r="AB32" i="2"/>
  <c r="H31" i="6" s="1"/>
  <c r="AB41" i="2"/>
  <c r="H40" i="6" s="1"/>
  <c r="AB51" i="2"/>
  <c r="H50" i="6" s="1"/>
  <c r="AB61" i="2"/>
  <c r="H60" i="6" s="1"/>
  <c r="Z47" i="2"/>
  <c r="F46" i="6" s="1"/>
  <c r="X12" i="2"/>
  <c r="D11" i="6" s="1"/>
  <c r="AB15" i="2"/>
  <c r="H14" i="6" s="1"/>
  <c r="AB63" i="2"/>
  <c r="H62" i="6" s="1"/>
  <c r="W26" i="2"/>
  <c r="C25" i="6" s="1"/>
  <c r="AB7" i="2"/>
  <c r="H6" i="6" s="1"/>
  <c r="AB16" i="2"/>
  <c r="H15" i="6" s="1"/>
  <c r="AB25" i="2"/>
  <c r="H24" i="6" s="1"/>
  <c r="AB34" i="2"/>
  <c r="H33" i="6" s="1"/>
  <c r="AB43" i="2"/>
  <c r="H42" i="6" s="1"/>
  <c r="AB55" i="2"/>
  <c r="H54" i="6" s="1"/>
  <c r="AB64" i="2"/>
  <c r="H63" i="6" s="1"/>
  <c r="AA18" i="2"/>
  <c r="G17" i="6" s="1"/>
  <c r="X64" i="2"/>
  <c r="D63" i="6" s="1"/>
  <c r="AB27" i="2"/>
  <c r="H26" i="6" s="1"/>
  <c r="AB8" i="2"/>
  <c r="H7" i="6" s="1"/>
  <c r="AB17" i="2"/>
  <c r="H16" i="6" s="1"/>
  <c r="AB26" i="2"/>
  <c r="H25" i="6" s="1"/>
  <c r="AB35" i="2"/>
  <c r="H34" i="6" s="1"/>
  <c r="AB44" i="2"/>
  <c r="H43" i="6" s="1"/>
  <c r="AB56" i="2"/>
  <c r="H55" i="6" s="1"/>
  <c r="AB65" i="2"/>
  <c r="H64" i="6" s="1"/>
  <c r="AA52" i="2"/>
  <c r="G51" i="6" s="1"/>
  <c r="Z7" i="2"/>
  <c r="F6" i="6" s="1"/>
  <c r="Y23" i="2"/>
  <c r="E22" i="6" s="1"/>
  <c r="Y33" i="2"/>
  <c r="E32" i="6" s="1"/>
  <c r="AB9" i="2"/>
  <c r="H8" i="6" s="1"/>
  <c r="AB36" i="2"/>
  <c r="H35" i="6" s="1"/>
  <c r="W54" i="2"/>
  <c r="C53" i="6" s="1"/>
  <c r="F3" i="2"/>
  <c r="AA9" i="2" s="1"/>
  <c r="G8" i="6" s="1"/>
  <c r="H67" i="2"/>
  <c r="F67" i="2"/>
  <c r="D67" i="2"/>
  <c r="E3" i="2"/>
  <c r="Z31" i="2" s="1"/>
  <c r="F30" i="6" s="1"/>
  <c r="E67" i="2"/>
  <c r="B3" i="2"/>
  <c r="W10" i="2" s="1"/>
  <c r="C9" i="6" s="1"/>
  <c r="AA61" i="2"/>
  <c r="G60" i="6" s="1"/>
  <c r="D3" i="2"/>
  <c r="Y57" i="2" s="1"/>
  <c r="E56" i="6" s="1"/>
  <c r="G67" i="2"/>
  <c r="X29" i="2"/>
  <c r="D28" i="6" s="1"/>
  <c r="AC46" i="2"/>
  <c r="I45" i="6" s="1"/>
  <c r="X22" i="2"/>
  <c r="D21" i="6" s="1"/>
  <c r="AB5" i="2"/>
  <c r="H4" i="6" s="1"/>
  <c r="AC15" i="2"/>
  <c r="I14" i="6" s="1"/>
  <c r="C3" i="2"/>
  <c r="X23" i="2" s="1"/>
  <c r="D22" i="6" s="1"/>
  <c r="W39" i="2"/>
  <c r="C38" i="6" s="1"/>
  <c r="AA51" i="2"/>
  <c r="G50" i="6" s="1"/>
  <c r="AA35" i="2"/>
  <c r="G34" i="6" s="1"/>
  <c r="AA27" i="2"/>
  <c r="G26" i="6" s="1"/>
  <c r="W61" i="2"/>
  <c r="C60" i="6" s="1"/>
  <c r="W45" i="2"/>
  <c r="C44" i="6" s="1"/>
  <c r="W37" i="2"/>
  <c r="C36" i="6" s="1"/>
  <c r="AB62" i="2"/>
  <c r="H61" i="6" s="1"/>
  <c r="AB54" i="2"/>
  <c r="H53" i="6" s="1"/>
  <c r="AB46" i="2"/>
  <c r="H45" i="6" s="1"/>
  <c r="AB38" i="2"/>
  <c r="H37" i="6" s="1"/>
  <c r="AB30" i="2"/>
  <c r="H29" i="6" s="1"/>
  <c r="AB22" i="2"/>
  <c r="H21" i="6" s="1"/>
  <c r="AB14" i="2"/>
  <c r="H13" i="6" s="1"/>
  <c r="AB6" i="2"/>
  <c r="H5" i="6" s="1"/>
  <c r="X59" i="2"/>
  <c r="D58" i="6" s="1"/>
  <c r="I66" i="5"/>
  <c r="I66" i="4"/>
  <c r="C67" i="2"/>
  <c r="X41" i="2"/>
  <c r="D40" i="6" s="1"/>
  <c r="X25" i="2"/>
  <c r="D24" i="6" s="1"/>
  <c r="X17" i="2"/>
  <c r="D16" i="6" s="1"/>
  <c r="Z27" i="2"/>
  <c r="F26" i="6" s="1"/>
  <c r="AB53" i="2"/>
  <c r="H52" i="6" s="1"/>
  <c r="AB45" i="2"/>
  <c r="H44" i="6" s="1"/>
  <c r="X35" i="2"/>
  <c r="D34" i="6" s="1"/>
  <c r="H3" i="2"/>
  <c r="AC19" i="2" s="1"/>
  <c r="I18" i="6" s="1"/>
  <c r="Y61" i="2"/>
  <c r="E60" i="6" s="1"/>
  <c r="Y13" i="2"/>
  <c r="E12" i="6" s="1"/>
  <c r="Z58" i="2"/>
  <c r="F57" i="6" s="1"/>
  <c r="AA47" i="2"/>
  <c r="G46" i="6" s="1"/>
  <c r="AA23" i="2"/>
  <c r="G22" i="6" s="1"/>
  <c r="AA15" i="2"/>
  <c r="G14" i="6" s="1"/>
  <c r="B67" i="2"/>
  <c r="AA62" i="2"/>
  <c r="G61" i="6" s="1"/>
  <c r="AA38" i="2"/>
  <c r="G37" i="6" s="1"/>
  <c r="AA30" i="2"/>
  <c r="G29" i="6" s="1"/>
  <c r="W47" i="2" l="1"/>
  <c r="C46" i="6" s="1"/>
  <c r="X38" i="2"/>
  <c r="D37" i="6" s="1"/>
  <c r="X37" i="2"/>
  <c r="D36" i="6" s="1"/>
  <c r="X14" i="2"/>
  <c r="D13" i="6" s="1"/>
  <c r="X48" i="2"/>
  <c r="D47" i="6" s="1"/>
  <c r="X47" i="2"/>
  <c r="D46" i="6" s="1"/>
  <c r="W16" i="2"/>
  <c r="C15" i="6" s="1"/>
  <c r="AA12" i="2"/>
  <c r="G11" i="6" s="1"/>
  <c r="W62" i="2"/>
  <c r="C61" i="6" s="1"/>
  <c r="AA10" i="2"/>
  <c r="G9" i="6" s="1"/>
  <c r="W36" i="2"/>
  <c r="C35" i="6" s="1"/>
  <c r="X7" i="2"/>
  <c r="D6" i="6" s="1"/>
  <c r="AA46" i="2"/>
  <c r="G45" i="6" s="1"/>
  <c r="AA39" i="2"/>
  <c r="G38" i="6" s="1"/>
  <c r="X33" i="2"/>
  <c r="D32" i="6" s="1"/>
  <c r="X27" i="2"/>
  <c r="D26" i="6" s="1"/>
  <c r="W53" i="2"/>
  <c r="C52" i="6" s="1"/>
  <c r="AA43" i="2"/>
  <c r="G42" i="6" s="1"/>
  <c r="W55" i="2"/>
  <c r="C54" i="6" s="1"/>
  <c r="X54" i="2"/>
  <c r="D53" i="6" s="1"/>
  <c r="X61" i="2"/>
  <c r="D60" i="6" s="1"/>
  <c r="X30" i="2"/>
  <c r="D29" i="6" s="1"/>
  <c r="W43" i="2"/>
  <c r="C42" i="6" s="1"/>
  <c r="W12" i="2"/>
  <c r="C11" i="6" s="1"/>
  <c r="X32" i="2"/>
  <c r="D31" i="6" s="1"/>
  <c r="W58" i="2"/>
  <c r="C57" i="6" s="1"/>
  <c r="X56" i="2"/>
  <c r="D55" i="6" s="1"/>
  <c r="AA33" i="2"/>
  <c r="G32" i="6" s="1"/>
  <c r="X49" i="2"/>
  <c r="D48" i="6" s="1"/>
  <c r="Y22" i="2"/>
  <c r="E21" i="6" s="1"/>
  <c r="X24" i="2"/>
  <c r="D23" i="6" s="1"/>
  <c r="X16" i="2"/>
  <c r="D15" i="6" s="1"/>
  <c r="X31" i="2"/>
  <c r="D30" i="6" s="1"/>
  <c r="I67" i="2"/>
  <c r="AA55" i="2"/>
  <c r="G54" i="6" s="1"/>
  <c r="X62" i="2"/>
  <c r="D61" i="6" s="1"/>
  <c r="X11" i="2"/>
  <c r="D10" i="6" s="1"/>
  <c r="W7" i="2"/>
  <c r="C6" i="6" s="1"/>
  <c r="W56" i="2"/>
  <c r="C55" i="6" s="1"/>
  <c r="AA6" i="2"/>
  <c r="G5" i="6" s="1"/>
  <c r="X19" i="2"/>
  <c r="D18" i="6" s="1"/>
  <c r="AA63" i="2"/>
  <c r="G62" i="6" s="1"/>
  <c r="X57" i="2"/>
  <c r="D56" i="6" s="1"/>
  <c r="W13" i="2"/>
  <c r="C12" i="6" s="1"/>
  <c r="W15" i="2"/>
  <c r="C14" i="6" s="1"/>
  <c r="Y58" i="2"/>
  <c r="E57" i="6" s="1"/>
  <c r="AA13" i="2"/>
  <c r="G12" i="6" s="1"/>
  <c r="W11" i="2"/>
  <c r="C10" i="6" s="1"/>
  <c r="Y11" i="2"/>
  <c r="E10" i="6" s="1"/>
  <c r="W27" i="2"/>
  <c r="C26" i="6" s="1"/>
  <c r="W8" i="2"/>
  <c r="C7" i="6" s="1"/>
  <c r="W18" i="2"/>
  <c r="C17" i="6" s="1"/>
  <c r="Y27" i="2"/>
  <c r="E26" i="6" s="1"/>
  <c r="W20" i="2"/>
  <c r="C19" i="6" s="1"/>
  <c r="AA49" i="2"/>
  <c r="G48" i="6" s="1"/>
  <c r="W17" i="2"/>
  <c r="C16" i="6" s="1"/>
  <c r="X43" i="2"/>
  <c r="D42" i="6" s="1"/>
  <c r="X5" i="2"/>
  <c r="D4" i="6" s="1"/>
  <c r="AA20" i="2"/>
  <c r="G19" i="6" s="1"/>
  <c r="Z8" i="2"/>
  <c r="F7" i="6" s="1"/>
  <c r="AA14" i="2"/>
  <c r="G13" i="6" s="1"/>
  <c r="X51" i="2"/>
  <c r="D50" i="6" s="1"/>
  <c r="Z50" i="2"/>
  <c r="F49" i="6" s="1"/>
  <c r="Z19" i="2"/>
  <c r="F18" i="6" s="1"/>
  <c r="X65" i="2"/>
  <c r="D64" i="6" s="1"/>
  <c r="W21" i="2"/>
  <c r="C20" i="6" s="1"/>
  <c r="AA11" i="2"/>
  <c r="G10" i="6" s="1"/>
  <c r="W23" i="2"/>
  <c r="C22" i="6" s="1"/>
  <c r="AA21" i="2"/>
  <c r="G20" i="6" s="1"/>
  <c r="X13" i="2"/>
  <c r="D12" i="6" s="1"/>
  <c r="AA29" i="2"/>
  <c r="G28" i="6" s="1"/>
  <c r="W65" i="2"/>
  <c r="C64" i="6" s="1"/>
  <c r="X50" i="2"/>
  <c r="D49" i="6" s="1"/>
  <c r="AA50" i="2"/>
  <c r="G49" i="6" s="1"/>
  <c r="W38" i="2"/>
  <c r="C37" i="6" s="1"/>
  <c r="Y39" i="2"/>
  <c r="E38" i="6" s="1"/>
  <c r="W28" i="2"/>
  <c r="C27" i="6" s="1"/>
  <c r="AA58" i="2"/>
  <c r="G57" i="6" s="1"/>
  <c r="W32" i="2"/>
  <c r="C31" i="6" s="1"/>
  <c r="W24" i="2"/>
  <c r="C23" i="6" s="1"/>
  <c r="X40" i="2"/>
  <c r="D39" i="6" s="1"/>
  <c r="Y50" i="2"/>
  <c r="E49" i="6" s="1"/>
  <c r="X52" i="2"/>
  <c r="D51" i="6" s="1"/>
  <c r="AA36" i="2"/>
  <c r="G35" i="6" s="1"/>
  <c r="AA22" i="2"/>
  <c r="G21" i="6" s="1"/>
  <c r="AA7" i="2"/>
  <c r="G6" i="6" s="1"/>
  <c r="W29" i="2"/>
  <c r="C28" i="6" s="1"/>
  <c r="AA19" i="2"/>
  <c r="G18" i="6" s="1"/>
  <c r="W31" i="2"/>
  <c r="C30" i="6" s="1"/>
  <c r="AA37" i="2"/>
  <c r="G36" i="6" s="1"/>
  <c r="X21" i="2"/>
  <c r="D20" i="6" s="1"/>
  <c r="AA45" i="2"/>
  <c r="G44" i="6" s="1"/>
  <c r="AA24" i="2"/>
  <c r="G23" i="6" s="1"/>
  <c r="X34" i="2"/>
  <c r="D33" i="6" s="1"/>
  <c r="W14" i="2"/>
  <c r="C13" i="6" s="1"/>
  <c r="AA34" i="2"/>
  <c r="G33" i="6" s="1"/>
  <c r="W49" i="2"/>
  <c r="C48" i="6" s="1"/>
  <c r="AA44" i="2"/>
  <c r="G43" i="6" s="1"/>
  <c r="Y49" i="2"/>
  <c r="E48" i="6" s="1"/>
  <c r="AA42" i="2"/>
  <c r="G41" i="6" s="1"/>
  <c r="W42" i="2"/>
  <c r="C41" i="6" s="1"/>
  <c r="Z63" i="2"/>
  <c r="F62" i="6" s="1"/>
  <c r="Y31" i="2"/>
  <c r="E30" i="6" s="1"/>
  <c r="Y6" i="2"/>
  <c r="E5" i="6" s="1"/>
  <c r="AC59" i="2"/>
  <c r="I58" i="6" s="1"/>
  <c r="Z21" i="2"/>
  <c r="F20" i="6" s="1"/>
  <c r="Z10" i="2"/>
  <c r="F9" i="6" s="1"/>
  <c r="Y21" i="2"/>
  <c r="E20" i="6" s="1"/>
  <c r="AC10" i="2"/>
  <c r="I9" i="6" s="1"/>
  <c r="Z43" i="2"/>
  <c r="F42" i="6" s="1"/>
  <c r="AC29" i="2"/>
  <c r="I28" i="6" s="1"/>
  <c r="AC6" i="2"/>
  <c r="I5" i="6" s="1"/>
  <c r="AC7" i="2"/>
  <c r="I6" i="6" s="1"/>
  <c r="AC18" i="2"/>
  <c r="I17" i="6" s="1"/>
  <c r="Z49" i="2"/>
  <c r="F48" i="6" s="1"/>
  <c r="AC41" i="2"/>
  <c r="I40" i="6" s="1"/>
  <c r="Z25" i="2"/>
  <c r="F24" i="6" s="1"/>
  <c r="Y40" i="2"/>
  <c r="E39" i="6" s="1"/>
  <c r="AC48" i="2"/>
  <c r="I47" i="6" s="1"/>
  <c r="Y36" i="2"/>
  <c r="E35" i="6" s="1"/>
  <c r="Z9" i="2"/>
  <c r="F8" i="6" s="1"/>
  <c r="G67" i="5"/>
  <c r="F67" i="5"/>
  <c r="B67" i="5"/>
  <c r="H67" i="5"/>
  <c r="C67" i="5"/>
  <c r="E67" i="5"/>
  <c r="D67" i="5"/>
  <c r="Z35" i="2"/>
  <c r="F34" i="6" s="1"/>
  <c r="AC21" i="2"/>
  <c r="I20" i="6" s="1"/>
  <c r="AC55" i="2"/>
  <c r="I54" i="6" s="1"/>
  <c r="AC62" i="2"/>
  <c r="I61" i="6" s="1"/>
  <c r="Y12" i="2"/>
  <c r="E11" i="6" s="1"/>
  <c r="Z23" i="2"/>
  <c r="F22" i="6" s="1"/>
  <c r="Y47" i="2"/>
  <c r="E46" i="6" s="1"/>
  <c r="Y10" i="2"/>
  <c r="E9" i="6" s="1"/>
  <c r="Z64" i="2"/>
  <c r="F63" i="6" s="1"/>
  <c r="Z18" i="2"/>
  <c r="F17" i="6" s="1"/>
  <c r="Y29" i="2"/>
  <c r="E28" i="6" s="1"/>
  <c r="AC5" i="2"/>
  <c r="Z51" i="2"/>
  <c r="F50" i="6" s="1"/>
  <c r="Z44" i="2"/>
  <c r="F43" i="6" s="1"/>
  <c r="AC37" i="2"/>
  <c r="I36" i="6" s="1"/>
  <c r="AC14" i="2"/>
  <c r="I13" i="6" s="1"/>
  <c r="Y18" i="2"/>
  <c r="E17" i="6" s="1"/>
  <c r="AC23" i="2"/>
  <c r="I22" i="6" s="1"/>
  <c r="X18" i="2"/>
  <c r="D17" i="6" s="1"/>
  <c r="Z53" i="2"/>
  <c r="F52" i="6" s="1"/>
  <c r="AC42" i="2"/>
  <c r="I41" i="6" s="1"/>
  <c r="W25" i="2"/>
  <c r="C24" i="6" s="1"/>
  <c r="Y64" i="2"/>
  <c r="E63" i="6" s="1"/>
  <c r="Z38" i="2"/>
  <c r="F37" i="6" s="1"/>
  <c r="AC27" i="2"/>
  <c r="I26" i="6" s="1"/>
  <c r="W59" i="2"/>
  <c r="C58" i="6" s="1"/>
  <c r="Y30" i="2"/>
  <c r="E29" i="6" s="1"/>
  <c r="AA64" i="2"/>
  <c r="G63" i="6" s="1"/>
  <c r="Y24" i="2"/>
  <c r="E23" i="6" s="1"/>
  <c r="Y9" i="2"/>
  <c r="E8" i="6" s="1"/>
  <c r="W40" i="2"/>
  <c r="C39" i="6" s="1"/>
  <c r="Z46" i="2"/>
  <c r="F45" i="6" s="1"/>
  <c r="AC24" i="2"/>
  <c r="I23" i="6" s="1"/>
  <c r="W50" i="2"/>
  <c r="C49" i="6" s="1"/>
  <c r="W19" i="2"/>
  <c r="C18" i="6" s="1"/>
  <c r="X8" i="2"/>
  <c r="D7" i="6" s="1"/>
  <c r="Z45" i="2"/>
  <c r="F44" i="6" s="1"/>
  <c r="AC34" i="2"/>
  <c r="I33" i="6" s="1"/>
  <c r="X63" i="2"/>
  <c r="D62" i="6" s="1"/>
  <c r="W64" i="2"/>
  <c r="C63" i="6" s="1"/>
  <c r="Y25" i="2"/>
  <c r="E24" i="6" s="1"/>
  <c r="AA57" i="2"/>
  <c r="G56" i="6" s="1"/>
  <c r="AC32" i="2"/>
  <c r="I31" i="6" s="1"/>
  <c r="AC52" i="2"/>
  <c r="I51" i="6" s="1"/>
  <c r="Y51" i="2"/>
  <c r="E50" i="6" s="1"/>
  <c r="Z24" i="2"/>
  <c r="F23" i="6" s="1"/>
  <c r="AC11" i="2"/>
  <c r="I10" i="6" s="1"/>
  <c r="AC40" i="2"/>
  <c r="I39" i="6" s="1"/>
  <c r="AC49" i="2"/>
  <c r="I48" i="6" s="1"/>
  <c r="AC56" i="2"/>
  <c r="I55" i="6" s="1"/>
  <c r="Z26" i="2"/>
  <c r="F25" i="6" s="1"/>
  <c r="Y37" i="2"/>
  <c r="E36" i="6" s="1"/>
  <c r="Z59" i="2"/>
  <c r="F58" i="6" s="1"/>
  <c r="Z52" i="2"/>
  <c r="F51" i="6" s="1"/>
  <c r="AC45" i="2"/>
  <c r="I44" i="6" s="1"/>
  <c r="Z39" i="2"/>
  <c r="F38" i="6" s="1"/>
  <c r="AC28" i="2"/>
  <c r="I27" i="6" s="1"/>
  <c r="W35" i="2"/>
  <c r="C34" i="6" s="1"/>
  <c r="Y54" i="2"/>
  <c r="E53" i="6" s="1"/>
  <c r="Z28" i="2"/>
  <c r="F27" i="6" s="1"/>
  <c r="AC16" i="2"/>
  <c r="I15" i="6" s="1"/>
  <c r="X60" i="2"/>
  <c r="D59" i="6" s="1"/>
  <c r="Y19" i="2"/>
  <c r="E18" i="6" s="1"/>
  <c r="AA48" i="2"/>
  <c r="G47" i="6" s="1"/>
  <c r="Z40" i="2"/>
  <c r="F39" i="6" s="1"/>
  <c r="Z37" i="2"/>
  <c r="F36" i="6" s="1"/>
  <c r="W60" i="2"/>
  <c r="C59" i="6" s="1"/>
  <c r="Z33" i="2"/>
  <c r="F32" i="6" s="1"/>
  <c r="AC9" i="2"/>
  <c r="I8" i="6" s="1"/>
  <c r="W48" i="2"/>
  <c r="C47" i="6" s="1"/>
  <c r="X58" i="2"/>
  <c r="D57" i="6" s="1"/>
  <c r="W30" i="2"/>
  <c r="C29" i="6" s="1"/>
  <c r="Y59" i="2"/>
  <c r="E58" i="6" s="1"/>
  <c r="Z32" i="2"/>
  <c r="F31" i="6" s="1"/>
  <c r="AC20" i="2"/>
  <c r="I19" i="6" s="1"/>
  <c r="X15" i="2"/>
  <c r="D14" i="6" s="1"/>
  <c r="AC51" i="2"/>
  <c r="I50" i="6" s="1"/>
  <c r="X55" i="2"/>
  <c r="D54" i="6" s="1"/>
  <c r="Y15" i="2"/>
  <c r="E14" i="6" s="1"/>
  <c r="AA41" i="2"/>
  <c r="G40" i="6" s="1"/>
  <c r="AC22" i="2"/>
  <c r="I21" i="6" s="1"/>
  <c r="Y26" i="2"/>
  <c r="E25" i="6" s="1"/>
  <c r="AC31" i="2"/>
  <c r="I30" i="6" s="1"/>
  <c r="Y56" i="2"/>
  <c r="E55" i="6" s="1"/>
  <c r="Y65" i="2"/>
  <c r="E64" i="6" s="1"/>
  <c r="AB66" i="2"/>
  <c r="H65" i="6" s="1"/>
  <c r="AA54" i="2"/>
  <c r="G53" i="6" s="1"/>
  <c r="AA31" i="2"/>
  <c r="G30" i="6" s="1"/>
  <c r="Z34" i="2"/>
  <c r="F33" i="6" s="1"/>
  <c r="Y45" i="2"/>
  <c r="E44" i="6" s="1"/>
  <c r="X9" i="2"/>
  <c r="D8" i="6" s="1"/>
  <c r="Z60" i="2"/>
  <c r="F59" i="6" s="1"/>
  <c r="AA5" i="2"/>
  <c r="AC53" i="2"/>
  <c r="I52" i="6" s="1"/>
  <c r="AA59" i="2"/>
  <c r="G58" i="6" s="1"/>
  <c r="W63" i="2"/>
  <c r="C62" i="6" s="1"/>
  <c r="AA53" i="2"/>
  <c r="G52" i="6" s="1"/>
  <c r="AC30" i="2"/>
  <c r="I29" i="6" s="1"/>
  <c r="Y34" i="2"/>
  <c r="E33" i="6" s="1"/>
  <c r="X45" i="2"/>
  <c r="D44" i="6" s="1"/>
  <c r="AC47" i="2"/>
  <c r="I46" i="6" s="1"/>
  <c r="X46" i="2"/>
  <c r="D45" i="6" s="1"/>
  <c r="W22" i="2"/>
  <c r="C21" i="6" s="1"/>
  <c r="Z65" i="2"/>
  <c r="F64" i="6" s="1"/>
  <c r="W34" i="2"/>
  <c r="C33" i="6" s="1"/>
  <c r="Y55" i="2"/>
  <c r="E54" i="6" s="1"/>
  <c r="Z29" i="2"/>
  <c r="F28" i="6" s="1"/>
  <c r="AC17" i="2"/>
  <c r="I16" i="6" s="1"/>
  <c r="W46" i="2"/>
  <c r="C45" i="6" s="1"/>
  <c r="Y43" i="2"/>
  <c r="E42" i="6" s="1"/>
  <c r="Z16" i="2"/>
  <c r="F15" i="6" s="1"/>
  <c r="Y5" i="2"/>
  <c r="AC26" i="2"/>
  <c r="I25" i="6" s="1"/>
  <c r="X44" i="2"/>
  <c r="D43" i="6" s="1"/>
  <c r="Y8" i="2"/>
  <c r="E7" i="6" s="1"/>
  <c r="AA32" i="2"/>
  <c r="G31" i="6" s="1"/>
  <c r="AC64" i="2"/>
  <c r="I63" i="6" s="1"/>
  <c r="AA8" i="2"/>
  <c r="G7" i="6" s="1"/>
  <c r="AA65" i="2"/>
  <c r="G64" i="6" s="1"/>
  <c r="X26" i="2"/>
  <c r="D25" i="6" s="1"/>
  <c r="Z13" i="2"/>
  <c r="F12" i="6" s="1"/>
  <c r="Y46" i="2"/>
  <c r="E45" i="6" s="1"/>
  <c r="Y63" i="2"/>
  <c r="E62" i="6" s="1"/>
  <c r="X42" i="2"/>
  <c r="D41" i="6" s="1"/>
  <c r="W41" i="2"/>
  <c r="C40" i="6" s="1"/>
  <c r="Y48" i="2"/>
  <c r="E47" i="6" s="1"/>
  <c r="Z22" i="2"/>
  <c r="F21" i="6" s="1"/>
  <c r="AC8" i="2"/>
  <c r="I7" i="6" s="1"/>
  <c r="Y52" i="2"/>
  <c r="E51" i="6" s="1"/>
  <c r="AC12" i="2"/>
  <c r="I11" i="6" s="1"/>
  <c r="X39" i="2"/>
  <c r="D38" i="6" s="1"/>
  <c r="Z5" i="2"/>
  <c r="AA25" i="2"/>
  <c r="G24" i="6" s="1"/>
  <c r="AC58" i="2"/>
  <c r="I57" i="6" s="1"/>
  <c r="AC36" i="2"/>
  <c r="I35" i="6" s="1"/>
  <c r="AC54" i="2"/>
  <c r="I53" i="6" s="1"/>
  <c r="Y7" i="2"/>
  <c r="E6" i="6" s="1"/>
  <c r="Z14" i="2"/>
  <c r="F13" i="6" s="1"/>
  <c r="Y41" i="2"/>
  <c r="E40" i="6" s="1"/>
  <c r="Z57" i="2"/>
  <c r="F56" i="6" s="1"/>
  <c r="AC35" i="2"/>
  <c r="I34" i="6" s="1"/>
  <c r="AC43" i="2"/>
  <c r="I42" i="6" s="1"/>
  <c r="Z56" i="2"/>
  <c r="F55" i="6" s="1"/>
  <c r="Z42" i="2"/>
  <c r="F41" i="6" s="1"/>
  <c r="Y53" i="2"/>
  <c r="E52" i="6" s="1"/>
  <c r="Z11" i="2"/>
  <c r="F10" i="6" s="1"/>
  <c r="F67" i="4"/>
  <c r="H67" i="4"/>
  <c r="D67" i="4"/>
  <c r="B67" i="4"/>
  <c r="E67" i="4"/>
  <c r="C67" i="4"/>
  <c r="G67" i="4"/>
  <c r="AC61" i="2"/>
  <c r="I60" i="6" s="1"/>
  <c r="X6" i="2"/>
  <c r="D5" i="6" s="1"/>
  <c r="AC38" i="2"/>
  <c r="I37" i="6" s="1"/>
  <c r="Y42" i="2"/>
  <c r="E41" i="6" s="1"/>
  <c r="X53" i="2"/>
  <c r="D52" i="6" s="1"/>
  <c r="AC63" i="2"/>
  <c r="I62" i="6" s="1"/>
  <c r="W33" i="2"/>
  <c r="C32" i="6" s="1"/>
  <c r="Z30" i="2"/>
  <c r="F29" i="6" s="1"/>
  <c r="W44" i="2"/>
  <c r="C43" i="6" s="1"/>
  <c r="Y44" i="2"/>
  <c r="E43" i="6" s="1"/>
  <c r="Z17" i="2"/>
  <c r="F16" i="6" s="1"/>
  <c r="Y35" i="2"/>
  <c r="E34" i="6" s="1"/>
  <c r="W57" i="2"/>
  <c r="C56" i="6" s="1"/>
  <c r="Y32" i="2"/>
  <c r="E31" i="6" s="1"/>
  <c r="Z6" i="2"/>
  <c r="F5" i="6" s="1"/>
  <c r="AA56" i="2"/>
  <c r="G55" i="6" s="1"/>
  <c r="W6" i="2"/>
  <c r="C5" i="6" s="1"/>
  <c r="X28" i="2"/>
  <c r="D27" i="6" s="1"/>
  <c r="Z61" i="2"/>
  <c r="F60" i="6" s="1"/>
  <c r="AA16" i="2"/>
  <c r="G15" i="6" s="1"/>
  <c r="AC50" i="2"/>
  <c r="I49" i="6" s="1"/>
  <c r="AC57" i="2"/>
  <c r="I56" i="6" s="1"/>
  <c r="AA17" i="2"/>
  <c r="G16" i="6" s="1"/>
  <c r="Y60" i="2"/>
  <c r="E59" i="6" s="1"/>
  <c r="AA60" i="2"/>
  <c r="G59" i="6" s="1"/>
  <c r="Z54" i="2"/>
  <c r="F53" i="6" s="1"/>
  <c r="Z62" i="2"/>
  <c r="F61" i="6" s="1"/>
  <c r="X10" i="2"/>
  <c r="D9" i="6" s="1"/>
  <c r="W51" i="2"/>
  <c r="C50" i="6" s="1"/>
  <c r="Y38" i="2"/>
  <c r="E37" i="6" s="1"/>
  <c r="Z12" i="2"/>
  <c r="F11" i="6" s="1"/>
  <c r="X20" i="2"/>
  <c r="D19" i="6" s="1"/>
  <c r="Y20" i="2"/>
  <c r="E19" i="6" s="1"/>
  <c r="Z55" i="2"/>
  <c r="F54" i="6" s="1"/>
  <c r="AC44" i="2"/>
  <c r="I43" i="6" s="1"/>
  <c r="Y14" i="2"/>
  <c r="E13" i="6" s="1"/>
  <c r="Z48" i="2"/>
  <c r="F47" i="6" s="1"/>
  <c r="Z41" i="2"/>
  <c r="F40" i="6" s="1"/>
  <c r="AC33" i="2"/>
  <c r="I32" i="6" s="1"/>
  <c r="AC13" i="2"/>
  <c r="I12" i="6" s="1"/>
  <c r="AC39" i="2"/>
  <c r="I38" i="6" s="1"/>
  <c r="Y62" i="2"/>
  <c r="E61" i="6" s="1"/>
  <c r="Z36" i="2"/>
  <c r="F35" i="6" s="1"/>
  <c r="AC25" i="2"/>
  <c r="I24" i="6" s="1"/>
  <c r="AC65" i="2"/>
  <c r="I64" i="6" s="1"/>
  <c r="Y17" i="2"/>
  <c r="E16" i="6" s="1"/>
  <c r="AC60" i="2"/>
  <c r="I59" i="6" s="1"/>
  <c r="Y28" i="2"/>
  <c r="E27" i="6" s="1"/>
  <c r="Y16" i="2"/>
  <c r="E15" i="6" s="1"/>
  <c r="Z20" i="2"/>
  <c r="F19" i="6" s="1"/>
  <c r="Z15" i="2"/>
  <c r="F14" i="6" s="1"/>
  <c r="F3" i="5" l="1"/>
  <c r="P66" i="5"/>
  <c r="AB66" i="5" s="1"/>
  <c r="F3" i="4"/>
  <c r="P66" i="4"/>
  <c r="AB66" i="4" s="1"/>
  <c r="R66" i="5"/>
  <c r="AD66" i="5" s="1"/>
  <c r="H3" i="5"/>
  <c r="X66" i="2"/>
  <c r="I4" i="6"/>
  <c r="AC66" i="2"/>
  <c r="C3" i="4"/>
  <c r="M66" i="4"/>
  <c r="Y66" i="4" s="1"/>
  <c r="E4" i="6"/>
  <c r="Y66" i="2"/>
  <c r="C4" i="6"/>
  <c r="W66" i="2"/>
  <c r="Q66" i="5"/>
  <c r="AC66" i="5" s="1"/>
  <c r="G3" i="5"/>
  <c r="O66" i="4"/>
  <c r="AA66" i="4" s="1"/>
  <c r="E3" i="4"/>
  <c r="N66" i="5"/>
  <c r="Z66" i="5" s="1"/>
  <c r="D3" i="5"/>
  <c r="L66" i="5"/>
  <c r="X66" i="5" s="1"/>
  <c r="B3" i="5"/>
  <c r="G3" i="4"/>
  <c r="Q66" i="4"/>
  <c r="AC66" i="4" s="1"/>
  <c r="L66" i="4"/>
  <c r="X66" i="4" s="1"/>
  <c r="B3" i="4"/>
  <c r="N66" i="4"/>
  <c r="Z66" i="4" s="1"/>
  <c r="D3" i="4"/>
  <c r="G4" i="6"/>
  <c r="AA66" i="2"/>
  <c r="E3" i="5"/>
  <c r="O66" i="5"/>
  <c r="AA66" i="5" s="1"/>
  <c r="R66" i="4"/>
  <c r="AD66" i="4" s="1"/>
  <c r="H3" i="4"/>
  <c r="F4" i="6"/>
  <c r="Z66" i="2"/>
  <c r="M66" i="5"/>
  <c r="Y66" i="5" s="1"/>
  <c r="C3" i="5"/>
  <c r="D65" i="6" l="1"/>
  <c r="X67" i="2"/>
  <c r="F65" i="6"/>
  <c r="Z67" i="2"/>
  <c r="E65" i="6"/>
  <c r="Y67" i="2"/>
  <c r="P65" i="6"/>
  <c r="AB35" i="4"/>
  <c r="AB5" i="4"/>
  <c r="AB18" i="4"/>
  <c r="AB55" i="4"/>
  <c r="AB28" i="4"/>
  <c r="AB20" i="4"/>
  <c r="AB36" i="4"/>
  <c r="AB40" i="4"/>
  <c r="AB31" i="4"/>
  <c r="AB42" i="4"/>
  <c r="AB37" i="4"/>
  <c r="AB56" i="4"/>
  <c r="AB14" i="4"/>
  <c r="AB61" i="4"/>
  <c r="AB9" i="4"/>
  <c r="AB26" i="4"/>
  <c r="AB50" i="4"/>
  <c r="AB32" i="4"/>
  <c r="AB48" i="4"/>
  <c r="AB16" i="4"/>
  <c r="AB60" i="4"/>
  <c r="AB27" i="4"/>
  <c r="AB10" i="4"/>
  <c r="AB53" i="4"/>
  <c r="AB21" i="4"/>
  <c r="AB13" i="4"/>
  <c r="AB7" i="4"/>
  <c r="AB39" i="4"/>
  <c r="AB12" i="4"/>
  <c r="AB23" i="4"/>
  <c r="AB15" i="4"/>
  <c r="AB41" i="4"/>
  <c r="AB57" i="4"/>
  <c r="AB64" i="4"/>
  <c r="AB49" i="4"/>
  <c r="AB62" i="4"/>
  <c r="AB46" i="4"/>
  <c r="AB17" i="4"/>
  <c r="AB6" i="4"/>
  <c r="AB47" i="4"/>
  <c r="AB52" i="4"/>
  <c r="AB30" i="4"/>
  <c r="AB22" i="4"/>
  <c r="AB11" i="4"/>
  <c r="AB54" i="4"/>
  <c r="AB51" i="4"/>
  <c r="AB65" i="4"/>
  <c r="AB38" i="4"/>
  <c r="AB43" i="4"/>
  <c r="AB45" i="4"/>
  <c r="AB58" i="4"/>
  <c r="AB59" i="4"/>
  <c r="AB34" i="4"/>
  <c r="AB29" i="4"/>
  <c r="AB24" i="4"/>
  <c r="AB8" i="4"/>
  <c r="AB25" i="4"/>
  <c r="AB19" i="4"/>
  <c r="AB63" i="4"/>
  <c r="AB33" i="4"/>
  <c r="AB44" i="4"/>
  <c r="G65" i="6"/>
  <c r="AA67" i="2"/>
  <c r="Z49" i="5"/>
  <c r="W48" i="6" s="1"/>
  <c r="W65" i="6"/>
  <c r="Z25" i="5"/>
  <c r="W24" i="6" s="1"/>
  <c r="Z57" i="5"/>
  <c r="W56" i="6" s="1"/>
  <c r="Z45" i="5"/>
  <c r="W44" i="6" s="1"/>
  <c r="Z61" i="5"/>
  <c r="W60" i="6" s="1"/>
  <c r="Z39" i="5"/>
  <c r="W38" i="6" s="1"/>
  <c r="Z12" i="5"/>
  <c r="W11" i="6" s="1"/>
  <c r="Z32" i="5"/>
  <c r="W31" i="6" s="1"/>
  <c r="Z40" i="5"/>
  <c r="W39" i="6" s="1"/>
  <c r="Z58" i="5"/>
  <c r="W57" i="6" s="1"/>
  <c r="Z34" i="5"/>
  <c r="W33" i="6" s="1"/>
  <c r="Z37" i="5"/>
  <c r="W36" i="6" s="1"/>
  <c r="Z18" i="5"/>
  <c r="W17" i="6" s="1"/>
  <c r="Z33" i="5"/>
  <c r="W32" i="6" s="1"/>
  <c r="Z43" i="5"/>
  <c r="W42" i="6" s="1"/>
  <c r="Z16" i="5"/>
  <c r="W15" i="6" s="1"/>
  <c r="Z13" i="5"/>
  <c r="W12" i="6" s="1"/>
  <c r="Z65" i="5"/>
  <c r="W64" i="6" s="1"/>
  <c r="Z29" i="5"/>
  <c r="W28" i="6" s="1"/>
  <c r="Z15" i="5"/>
  <c r="W14" i="6" s="1"/>
  <c r="Z44" i="5"/>
  <c r="W43" i="6" s="1"/>
  <c r="Z9" i="5"/>
  <c r="W8" i="6" s="1"/>
  <c r="Z64" i="5"/>
  <c r="W63" i="6" s="1"/>
  <c r="Z19" i="5"/>
  <c r="W18" i="6" s="1"/>
  <c r="Z28" i="5"/>
  <c r="W27" i="6" s="1"/>
  <c r="Z56" i="5"/>
  <c r="W55" i="6" s="1"/>
  <c r="Z21" i="5"/>
  <c r="W20" i="6" s="1"/>
  <c r="Z38" i="5"/>
  <c r="W37" i="6" s="1"/>
  <c r="Z8" i="5"/>
  <c r="W7" i="6" s="1"/>
  <c r="Z20" i="5"/>
  <c r="W19" i="6" s="1"/>
  <c r="Z36" i="5"/>
  <c r="W35" i="6" s="1"/>
  <c r="Z22" i="5"/>
  <c r="W21" i="6" s="1"/>
  <c r="Z54" i="5"/>
  <c r="W53" i="6" s="1"/>
  <c r="Z30" i="5"/>
  <c r="W29" i="6" s="1"/>
  <c r="Z10" i="5"/>
  <c r="W9" i="6" s="1"/>
  <c r="Z31" i="5"/>
  <c r="W30" i="6" s="1"/>
  <c r="Z5" i="5"/>
  <c r="W4" i="6" s="1"/>
  <c r="Z27" i="5"/>
  <c r="W26" i="6" s="1"/>
  <c r="Z48" i="5"/>
  <c r="W47" i="6" s="1"/>
  <c r="Z42" i="5"/>
  <c r="W41" i="6" s="1"/>
  <c r="Z35" i="5"/>
  <c r="W34" i="6" s="1"/>
  <c r="Z55" i="5"/>
  <c r="W54" i="6" s="1"/>
  <c r="Z46" i="5"/>
  <c r="W45" i="6" s="1"/>
  <c r="Z24" i="5"/>
  <c r="W23" i="6" s="1"/>
  <c r="Z17" i="5"/>
  <c r="W16" i="6" s="1"/>
  <c r="Z23" i="5"/>
  <c r="W22" i="6" s="1"/>
  <c r="Z52" i="5"/>
  <c r="W51" i="6" s="1"/>
  <c r="Z7" i="5"/>
  <c r="W6" i="6" s="1"/>
  <c r="Z6" i="5"/>
  <c r="W5" i="6" s="1"/>
  <c r="Z50" i="5"/>
  <c r="W49" i="6" s="1"/>
  <c r="Z47" i="5"/>
  <c r="W46" i="6" s="1"/>
  <c r="Z53" i="5"/>
  <c r="W52" i="6" s="1"/>
  <c r="Z63" i="5"/>
  <c r="W62" i="6" s="1"/>
  <c r="Z60" i="5"/>
  <c r="W59" i="6" s="1"/>
  <c r="Z62" i="5"/>
  <c r="W61" i="6" s="1"/>
  <c r="Z11" i="5"/>
  <c r="W10" i="6" s="1"/>
  <c r="Z51" i="5"/>
  <c r="W50" i="6" s="1"/>
  <c r="Z26" i="5"/>
  <c r="W25" i="6" s="1"/>
  <c r="Z59" i="5"/>
  <c r="W58" i="6" s="1"/>
  <c r="Z41" i="5"/>
  <c r="W40" i="6" s="1"/>
  <c r="Z14" i="5"/>
  <c r="W13" i="6" s="1"/>
  <c r="R65" i="6"/>
  <c r="AD62" i="4"/>
  <c r="AD38" i="4"/>
  <c r="AD41" i="4"/>
  <c r="AD18" i="4"/>
  <c r="AD60" i="4"/>
  <c r="AD59" i="4"/>
  <c r="AD36" i="4"/>
  <c r="AD51" i="4"/>
  <c r="AD10" i="4"/>
  <c r="AD28" i="4"/>
  <c r="AD44" i="4"/>
  <c r="AD49" i="4"/>
  <c r="AD6" i="4"/>
  <c r="AD37" i="4"/>
  <c r="AD64" i="4"/>
  <c r="AD27" i="4"/>
  <c r="AD24" i="4"/>
  <c r="AD55" i="4"/>
  <c r="AD9" i="4"/>
  <c r="AD45" i="4"/>
  <c r="AD61" i="4"/>
  <c r="AD54" i="4"/>
  <c r="AD52" i="4"/>
  <c r="AD8" i="4"/>
  <c r="AD63" i="4"/>
  <c r="AD32" i="4"/>
  <c r="AD25" i="4"/>
  <c r="AD46" i="4"/>
  <c r="AD48" i="4"/>
  <c r="AD42" i="4"/>
  <c r="AD15" i="4"/>
  <c r="AD65" i="4"/>
  <c r="AD23" i="4"/>
  <c r="AD22" i="4"/>
  <c r="AD43" i="4"/>
  <c r="AD19" i="4"/>
  <c r="AD31" i="4"/>
  <c r="AD5" i="4"/>
  <c r="AD47" i="4"/>
  <c r="AD17" i="4"/>
  <c r="AD34" i="4"/>
  <c r="AD30" i="4"/>
  <c r="AD35" i="4"/>
  <c r="AD12" i="4"/>
  <c r="AD20" i="4"/>
  <c r="AD39" i="4"/>
  <c r="AD16" i="4"/>
  <c r="AD56" i="4"/>
  <c r="AD7" i="4"/>
  <c r="AD50" i="4"/>
  <c r="AD29" i="4"/>
  <c r="AD57" i="4"/>
  <c r="AD33" i="4"/>
  <c r="AD14" i="4"/>
  <c r="AD13" i="4"/>
  <c r="AD53" i="4"/>
  <c r="AD40" i="4"/>
  <c r="AD26" i="4"/>
  <c r="AD11" i="4"/>
  <c r="AD58" i="4"/>
  <c r="AD21" i="4"/>
  <c r="M65" i="6"/>
  <c r="Y7" i="4"/>
  <c r="Y24" i="4"/>
  <c r="Y20" i="4"/>
  <c r="Y47" i="4"/>
  <c r="Y22" i="4"/>
  <c r="Y33" i="4"/>
  <c r="Y37" i="4"/>
  <c r="Y10" i="4"/>
  <c r="Y29" i="4"/>
  <c r="Y9" i="4"/>
  <c r="Y40" i="4"/>
  <c r="Y18" i="4"/>
  <c r="Y41" i="4"/>
  <c r="Y56" i="4"/>
  <c r="Y21" i="4"/>
  <c r="Y39" i="4"/>
  <c r="Y8" i="4"/>
  <c r="Y31" i="4"/>
  <c r="Y27" i="4"/>
  <c r="Y53" i="4"/>
  <c r="Y50" i="4"/>
  <c r="Y15" i="4"/>
  <c r="Y12" i="4"/>
  <c r="Y54" i="4"/>
  <c r="Y35" i="4"/>
  <c r="Y55" i="4"/>
  <c r="Y48" i="4"/>
  <c r="Y5" i="4"/>
  <c r="Y42" i="4"/>
  <c r="Y26" i="4"/>
  <c r="Y30" i="4"/>
  <c r="Y63" i="4"/>
  <c r="Y46" i="4"/>
  <c r="Y58" i="4"/>
  <c r="Y60" i="4"/>
  <c r="Y51" i="4"/>
  <c r="Y16" i="4"/>
  <c r="Y52" i="4"/>
  <c r="Y62" i="4"/>
  <c r="Y57" i="4"/>
  <c r="Y49" i="4"/>
  <c r="Y44" i="4"/>
  <c r="Y25" i="4"/>
  <c r="Y38" i="4"/>
  <c r="Y59" i="4"/>
  <c r="Y34" i="4"/>
  <c r="Y11" i="4"/>
  <c r="Y65" i="4"/>
  <c r="Y32" i="4"/>
  <c r="Y43" i="4"/>
  <c r="Y6" i="4"/>
  <c r="Y28" i="4"/>
  <c r="Y23" i="4"/>
  <c r="Y64" i="4"/>
  <c r="Y45" i="4"/>
  <c r="Y61" i="4"/>
  <c r="Y17" i="4"/>
  <c r="Y13" i="4"/>
  <c r="Y36" i="4"/>
  <c r="Y14" i="4"/>
  <c r="Y19" i="4"/>
  <c r="C65" i="6"/>
  <c r="AD66" i="2"/>
  <c r="W67" i="2"/>
  <c r="U65" i="6"/>
  <c r="X56" i="5"/>
  <c r="U55" i="6" s="1"/>
  <c r="X42" i="5"/>
  <c r="U41" i="6" s="1"/>
  <c r="X8" i="5"/>
  <c r="U7" i="6" s="1"/>
  <c r="X35" i="5"/>
  <c r="U34" i="6" s="1"/>
  <c r="X46" i="5"/>
  <c r="U45" i="6" s="1"/>
  <c r="X51" i="5"/>
  <c r="U50" i="6" s="1"/>
  <c r="X43" i="5"/>
  <c r="U42" i="6" s="1"/>
  <c r="X52" i="5"/>
  <c r="U51" i="6" s="1"/>
  <c r="X36" i="5"/>
  <c r="U35" i="6" s="1"/>
  <c r="X44" i="5"/>
  <c r="U43" i="6" s="1"/>
  <c r="X23" i="5"/>
  <c r="U22" i="6" s="1"/>
  <c r="X62" i="5"/>
  <c r="U61" i="6" s="1"/>
  <c r="X24" i="5"/>
  <c r="U23" i="6" s="1"/>
  <c r="X40" i="5"/>
  <c r="U39" i="6" s="1"/>
  <c r="X58" i="5"/>
  <c r="U57" i="6" s="1"/>
  <c r="X47" i="5"/>
  <c r="U46" i="6" s="1"/>
  <c r="X65" i="5"/>
  <c r="U64" i="6" s="1"/>
  <c r="X21" i="5"/>
  <c r="U20" i="6" s="1"/>
  <c r="X25" i="5"/>
  <c r="U24" i="6" s="1"/>
  <c r="X30" i="5"/>
  <c r="U29" i="6" s="1"/>
  <c r="X6" i="5"/>
  <c r="U5" i="6" s="1"/>
  <c r="X32" i="5"/>
  <c r="U31" i="6" s="1"/>
  <c r="X41" i="5"/>
  <c r="U40" i="6" s="1"/>
  <c r="X50" i="5"/>
  <c r="U49" i="6" s="1"/>
  <c r="X5" i="5"/>
  <c r="U4" i="6" s="1"/>
  <c r="X17" i="5"/>
  <c r="U16" i="6" s="1"/>
  <c r="X29" i="5"/>
  <c r="U28" i="6" s="1"/>
  <c r="X33" i="5"/>
  <c r="U32" i="6" s="1"/>
  <c r="X54" i="5"/>
  <c r="U53" i="6" s="1"/>
  <c r="X60" i="5"/>
  <c r="U59" i="6" s="1"/>
  <c r="X26" i="5"/>
  <c r="U25" i="6" s="1"/>
  <c r="X55" i="5"/>
  <c r="U54" i="6" s="1"/>
  <c r="X14" i="5"/>
  <c r="U13" i="6" s="1"/>
  <c r="X61" i="5"/>
  <c r="U60" i="6" s="1"/>
  <c r="X59" i="5"/>
  <c r="U58" i="6" s="1"/>
  <c r="X20" i="5"/>
  <c r="U19" i="6" s="1"/>
  <c r="X64" i="5"/>
  <c r="U63" i="6" s="1"/>
  <c r="X18" i="5"/>
  <c r="U17" i="6" s="1"/>
  <c r="X57" i="5"/>
  <c r="U56" i="6" s="1"/>
  <c r="X34" i="5"/>
  <c r="U33" i="6" s="1"/>
  <c r="X27" i="5"/>
  <c r="U26" i="6" s="1"/>
  <c r="X11" i="5"/>
  <c r="U10" i="6" s="1"/>
  <c r="X39" i="5"/>
  <c r="U38" i="6" s="1"/>
  <c r="X63" i="5"/>
  <c r="U62" i="6" s="1"/>
  <c r="X53" i="5"/>
  <c r="U52" i="6" s="1"/>
  <c r="X45" i="5"/>
  <c r="U44" i="6" s="1"/>
  <c r="X13" i="5"/>
  <c r="U12" i="6" s="1"/>
  <c r="X12" i="5"/>
  <c r="U11" i="6" s="1"/>
  <c r="X9" i="5"/>
  <c r="U8" i="6" s="1"/>
  <c r="X38" i="5"/>
  <c r="U37" i="6" s="1"/>
  <c r="X7" i="5"/>
  <c r="U6" i="6" s="1"/>
  <c r="X15" i="5"/>
  <c r="U14" i="6" s="1"/>
  <c r="X31" i="5"/>
  <c r="U30" i="6" s="1"/>
  <c r="X37" i="5"/>
  <c r="U36" i="6" s="1"/>
  <c r="X10" i="5"/>
  <c r="U9" i="6" s="1"/>
  <c r="X19" i="5"/>
  <c r="U18" i="6" s="1"/>
  <c r="X16" i="5"/>
  <c r="U15" i="6" s="1"/>
  <c r="X28" i="5"/>
  <c r="U27" i="6" s="1"/>
  <c r="X48" i="5"/>
  <c r="U47" i="6" s="1"/>
  <c r="X22" i="5"/>
  <c r="U21" i="6" s="1"/>
  <c r="X49" i="5"/>
  <c r="U48" i="6" s="1"/>
  <c r="AD33" i="5"/>
  <c r="AA32" i="6" s="1"/>
  <c r="AA65" i="6"/>
  <c r="AD54" i="5"/>
  <c r="AA53" i="6" s="1"/>
  <c r="AD56" i="5"/>
  <c r="AA55" i="6" s="1"/>
  <c r="AD14" i="5"/>
  <c r="AA13" i="6" s="1"/>
  <c r="AD51" i="5"/>
  <c r="AA50" i="6" s="1"/>
  <c r="AD55" i="5"/>
  <c r="AA54" i="6" s="1"/>
  <c r="AD37" i="5"/>
  <c r="AA36" i="6" s="1"/>
  <c r="AD31" i="5"/>
  <c r="AA30" i="6" s="1"/>
  <c r="AD8" i="5"/>
  <c r="AA7" i="6" s="1"/>
  <c r="AD42" i="5"/>
  <c r="AA41" i="6" s="1"/>
  <c r="AD59" i="5"/>
  <c r="AA58" i="6" s="1"/>
  <c r="AD9" i="5"/>
  <c r="AA8" i="6" s="1"/>
  <c r="AD5" i="5"/>
  <c r="AA4" i="6" s="1"/>
  <c r="AD48" i="5"/>
  <c r="AA47" i="6" s="1"/>
  <c r="AD40" i="5"/>
  <c r="AA39" i="6" s="1"/>
  <c r="AD38" i="5"/>
  <c r="AA37" i="6" s="1"/>
  <c r="AD18" i="5"/>
  <c r="AA17" i="6" s="1"/>
  <c r="AD11" i="5"/>
  <c r="AA10" i="6" s="1"/>
  <c r="AD65" i="5"/>
  <c r="AA64" i="6" s="1"/>
  <c r="AD6" i="5"/>
  <c r="AA5" i="6" s="1"/>
  <c r="AD29" i="5"/>
  <c r="AA28" i="6" s="1"/>
  <c r="AD10" i="5"/>
  <c r="AA9" i="6" s="1"/>
  <c r="AD60" i="5"/>
  <c r="AA59" i="6" s="1"/>
  <c r="AD64" i="5"/>
  <c r="AA63" i="6" s="1"/>
  <c r="AD39" i="5"/>
  <c r="AA38" i="6" s="1"/>
  <c r="AD19" i="5"/>
  <c r="AA18" i="6" s="1"/>
  <c r="AD49" i="5"/>
  <c r="AA48" i="6" s="1"/>
  <c r="AD23" i="5"/>
  <c r="AA22" i="6" s="1"/>
  <c r="AD58" i="5"/>
  <c r="AA57" i="6" s="1"/>
  <c r="AD57" i="5"/>
  <c r="AA56" i="6" s="1"/>
  <c r="AD52" i="5"/>
  <c r="AA51" i="6" s="1"/>
  <c r="AD12" i="5"/>
  <c r="AA11" i="6" s="1"/>
  <c r="AD61" i="5"/>
  <c r="AA60" i="6" s="1"/>
  <c r="AD21" i="5"/>
  <c r="AA20" i="6" s="1"/>
  <c r="AD16" i="5"/>
  <c r="AA15" i="6" s="1"/>
  <c r="AD44" i="5"/>
  <c r="AA43" i="6" s="1"/>
  <c r="AD26" i="5"/>
  <c r="AA25" i="6" s="1"/>
  <c r="AD53" i="5"/>
  <c r="AA52" i="6" s="1"/>
  <c r="AD47" i="5"/>
  <c r="AA46" i="6" s="1"/>
  <c r="AD34" i="5"/>
  <c r="AA33" i="6" s="1"/>
  <c r="AD30" i="5"/>
  <c r="AA29" i="6" s="1"/>
  <c r="AD24" i="5"/>
  <c r="AA23" i="6" s="1"/>
  <c r="AD27" i="5"/>
  <c r="AA26" i="6" s="1"/>
  <c r="AD63" i="5"/>
  <c r="AA62" i="6" s="1"/>
  <c r="AD22" i="5"/>
  <c r="AA21" i="6" s="1"/>
  <c r="AD43" i="5"/>
  <c r="AA42" i="6" s="1"/>
  <c r="AD32" i="5"/>
  <c r="AA31" i="6" s="1"/>
  <c r="AD25" i="5"/>
  <c r="AA24" i="6" s="1"/>
  <c r="AD15" i="5"/>
  <c r="AA14" i="6" s="1"/>
  <c r="AD7" i="5"/>
  <c r="AA6" i="6" s="1"/>
  <c r="AD46" i="5"/>
  <c r="AA45" i="6" s="1"/>
  <c r="AD28" i="5"/>
  <c r="AA27" i="6" s="1"/>
  <c r="AD36" i="5"/>
  <c r="AA35" i="6" s="1"/>
  <c r="AD41" i="5"/>
  <c r="AA40" i="6" s="1"/>
  <c r="AD13" i="5"/>
  <c r="AA12" i="6" s="1"/>
  <c r="AD50" i="5"/>
  <c r="AA49" i="6" s="1"/>
  <c r="AD20" i="5"/>
  <c r="AA19" i="6" s="1"/>
  <c r="AD45" i="5"/>
  <c r="AA44" i="6" s="1"/>
  <c r="AD62" i="5"/>
  <c r="AA61" i="6" s="1"/>
  <c r="AD35" i="5"/>
  <c r="AA34" i="6" s="1"/>
  <c r="AD17" i="5"/>
  <c r="AA16" i="6" s="1"/>
  <c r="AB67" i="2"/>
  <c r="L65" i="6"/>
  <c r="X8" i="4"/>
  <c r="X19" i="4"/>
  <c r="X45" i="4"/>
  <c r="X24" i="4"/>
  <c r="X43" i="4"/>
  <c r="X59" i="4"/>
  <c r="X7" i="4"/>
  <c r="X60" i="4"/>
  <c r="X25" i="4"/>
  <c r="X5" i="4"/>
  <c r="X54" i="4"/>
  <c r="X62" i="4"/>
  <c r="X30" i="4"/>
  <c r="X44" i="4"/>
  <c r="X21" i="4"/>
  <c r="X35" i="4"/>
  <c r="X22" i="4"/>
  <c r="X31" i="4"/>
  <c r="X29" i="4"/>
  <c r="X47" i="4"/>
  <c r="X16" i="4"/>
  <c r="X37" i="4"/>
  <c r="X42" i="4"/>
  <c r="X52" i="4"/>
  <c r="X49" i="4"/>
  <c r="X20" i="4"/>
  <c r="X6" i="4"/>
  <c r="X9" i="4"/>
  <c r="X15" i="4"/>
  <c r="X27" i="4"/>
  <c r="X13" i="4"/>
  <c r="X33" i="4"/>
  <c r="X28" i="4"/>
  <c r="X55" i="4"/>
  <c r="X40" i="4"/>
  <c r="X14" i="4"/>
  <c r="X53" i="4"/>
  <c r="X12" i="4"/>
  <c r="X51" i="4"/>
  <c r="X11" i="4"/>
  <c r="X65" i="4"/>
  <c r="X64" i="4"/>
  <c r="X34" i="4"/>
  <c r="X17" i="4"/>
  <c r="X23" i="4"/>
  <c r="X58" i="4"/>
  <c r="X46" i="4"/>
  <c r="X61" i="4"/>
  <c r="X36" i="4"/>
  <c r="X57" i="4"/>
  <c r="X41" i="4"/>
  <c r="X38" i="4"/>
  <c r="X26" i="4"/>
  <c r="X63" i="4"/>
  <c r="X50" i="4"/>
  <c r="X48" i="4"/>
  <c r="X18" i="4"/>
  <c r="X39" i="4"/>
  <c r="X32" i="4"/>
  <c r="X56" i="4"/>
  <c r="X10" i="4"/>
  <c r="O65" i="6"/>
  <c r="AA9" i="4"/>
  <c r="AA52" i="4"/>
  <c r="AA28" i="4"/>
  <c r="AA47" i="4"/>
  <c r="AA39" i="4"/>
  <c r="AA5" i="4"/>
  <c r="AA59" i="4"/>
  <c r="AA32" i="4"/>
  <c r="AA40" i="4"/>
  <c r="AA58" i="4"/>
  <c r="AA27" i="4"/>
  <c r="AA33" i="4"/>
  <c r="AA62" i="4"/>
  <c r="AA46" i="4"/>
  <c r="AA53" i="4"/>
  <c r="AA43" i="4"/>
  <c r="AA21" i="4"/>
  <c r="AA22" i="4"/>
  <c r="AA49" i="4"/>
  <c r="AA6" i="4"/>
  <c r="AA7" i="4"/>
  <c r="AA65" i="4"/>
  <c r="AA18" i="4"/>
  <c r="AA63" i="4"/>
  <c r="AA61" i="4"/>
  <c r="AA8" i="4"/>
  <c r="AA10" i="4"/>
  <c r="AA41" i="4"/>
  <c r="AA38" i="4"/>
  <c r="AA29" i="4"/>
  <c r="AA54" i="4"/>
  <c r="AA30" i="4"/>
  <c r="AA60" i="4"/>
  <c r="AA14" i="4"/>
  <c r="AA17" i="4"/>
  <c r="AA57" i="4"/>
  <c r="AA19" i="4"/>
  <c r="AA23" i="4"/>
  <c r="AA36" i="4"/>
  <c r="AA50" i="4"/>
  <c r="AA15" i="4"/>
  <c r="AA34" i="4"/>
  <c r="AA37" i="4"/>
  <c r="AA45" i="4"/>
  <c r="AA44" i="4"/>
  <c r="AA35" i="4"/>
  <c r="AA24" i="4"/>
  <c r="AA26" i="4"/>
  <c r="AA48" i="4"/>
  <c r="AA11" i="4"/>
  <c r="AA31" i="4"/>
  <c r="AA20" i="4"/>
  <c r="AA56" i="4"/>
  <c r="AA51" i="4"/>
  <c r="AA13" i="4"/>
  <c r="AA25" i="4"/>
  <c r="AA64" i="4"/>
  <c r="AA16" i="4"/>
  <c r="AA55" i="4"/>
  <c r="AA42" i="4"/>
  <c r="AA12" i="4"/>
  <c r="Y65" i="6"/>
  <c r="AB44" i="5"/>
  <c r="Y43" i="6" s="1"/>
  <c r="AB14" i="5"/>
  <c r="Y13" i="6" s="1"/>
  <c r="AB65" i="5"/>
  <c r="Y64" i="6" s="1"/>
  <c r="AB53" i="5"/>
  <c r="Y52" i="6" s="1"/>
  <c r="AB32" i="5"/>
  <c r="Y31" i="6" s="1"/>
  <c r="AB51" i="5"/>
  <c r="Y50" i="6" s="1"/>
  <c r="AB31" i="5"/>
  <c r="Y30" i="6" s="1"/>
  <c r="AB10" i="5"/>
  <c r="Y9" i="6" s="1"/>
  <c r="AB62" i="5"/>
  <c r="Y61" i="6" s="1"/>
  <c r="AB9" i="5"/>
  <c r="Y8" i="6" s="1"/>
  <c r="AB28" i="5"/>
  <c r="Y27" i="6" s="1"/>
  <c r="AB38" i="5"/>
  <c r="Y37" i="6" s="1"/>
  <c r="AB54" i="5"/>
  <c r="Y53" i="6" s="1"/>
  <c r="AB43" i="5"/>
  <c r="Y42" i="6" s="1"/>
  <c r="AB64" i="5"/>
  <c r="Y63" i="6" s="1"/>
  <c r="AB23" i="5"/>
  <c r="Y22" i="6" s="1"/>
  <c r="AB35" i="5"/>
  <c r="Y34" i="6" s="1"/>
  <c r="AB24" i="5"/>
  <c r="Y23" i="6" s="1"/>
  <c r="AB58" i="5"/>
  <c r="Y57" i="6" s="1"/>
  <c r="AB5" i="5"/>
  <c r="Y4" i="6" s="1"/>
  <c r="AB57" i="5"/>
  <c r="Y56" i="6" s="1"/>
  <c r="AB33" i="5"/>
  <c r="Y32" i="6" s="1"/>
  <c r="AB15" i="5"/>
  <c r="Y14" i="6" s="1"/>
  <c r="AB21" i="5"/>
  <c r="Y20" i="6" s="1"/>
  <c r="AB40" i="5"/>
  <c r="Y39" i="6" s="1"/>
  <c r="AB55" i="5"/>
  <c r="Y54" i="6" s="1"/>
  <c r="AB48" i="5"/>
  <c r="Y47" i="6" s="1"/>
  <c r="AB11" i="5"/>
  <c r="Y10" i="6" s="1"/>
  <c r="AB49" i="5"/>
  <c r="Y48" i="6" s="1"/>
  <c r="AB17" i="5"/>
  <c r="Y16" i="6" s="1"/>
  <c r="AB50" i="5"/>
  <c r="Y49" i="6" s="1"/>
  <c r="AB52" i="5"/>
  <c r="Y51" i="6" s="1"/>
  <c r="AB46" i="5"/>
  <c r="Y45" i="6" s="1"/>
  <c r="AB22" i="5"/>
  <c r="Y21" i="6" s="1"/>
  <c r="AB19" i="5"/>
  <c r="Y18" i="6" s="1"/>
  <c r="AB47" i="5"/>
  <c r="Y46" i="6" s="1"/>
  <c r="AB42" i="5"/>
  <c r="Y41" i="6" s="1"/>
  <c r="AB20" i="5"/>
  <c r="Y19" i="6" s="1"/>
  <c r="AB25" i="5"/>
  <c r="Y24" i="6" s="1"/>
  <c r="AB41" i="5"/>
  <c r="Y40" i="6" s="1"/>
  <c r="AB8" i="5"/>
  <c r="Y7" i="6" s="1"/>
  <c r="AB39" i="5"/>
  <c r="Y38" i="6" s="1"/>
  <c r="AB7" i="5"/>
  <c r="Y6" i="6" s="1"/>
  <c r="AB61" i="5"/>
  <c r="Y60" i="6" s="1"/>
  <c r="AB6" i="5"/>
  <c r="Y5" i="6" s="1"/>
  <c r="AB34" i="5"/>
  <c r="Y33" i="6" s="1"/>
  <c r="AB60" i="5"/>
  <c r="Y59" i="6" s="1"/>
  <c r="AB12" i="5"/>
  <c r="Y11" i="6" s="1"/>
  <c r="AB30" i="5"/>
  <c r="Y29" i="6" s="1"/>
  <c r="AB63" i="5"/>
  <c r="Y62" i="6" s="1"/>
  <c r="AB29" i="5"/>
  <c r="Y28" i="6" s="1"/>
  <c r="AB37" i="5"/>
  <c r="Y36" i="6" s="1"/>
  <c r="AB56" i="5"/>
  <c r="Y55" i="6" s="1"/>
  <c r="AB26" i="5"/>
  <c r="Y25" i="6" s="1"/>
  <c r="AB36" i="5"/>
  <c r="Y35" i="6" s="1"/>
  <c r="AB45" i="5"/>
  <c r="Y44" i="6" s="1"/>
  <c r="AB16" i="5"/>
  <c r="Y15" i="6" s="1"/>
  <c r="AB59" i="5"/>
  <c r="Y58" i="6" s="1"/>
  <c r="AB18" i="5"/>
  <c r="Y17" i="6" s="1"/>
  <c r="AB13" i="5"/>
  <c r="Y12" i="6" s="1"/>
  <c r="AB27" i="5"/>
  <c r="Y26" i="6" s="1"/>
  <c r="AC28" i="5"/>
  <c r="Z27" i="6" s="1"/>
  <c r="Z65" i="6"/>
  <c r="AC32" i="5"/>
  <c r="Z31" i="6" s="1"/>
  <c r="AC44" i="5"/>
  <c r="Z43" i="6" s="1"/>
  <c r="AC29" i="5"/>
  <c r="Z28" i="6" s="1"/>
  <c r="AC38" i="5"/>
  <c r="Z37" i="6" s="1"/>
  <c r="AC47" i="5"/>
  <c r="Z46" i="6" s="1"/>
  <c r="AC58" i="5"/>
  <c r="Z57" i="6" s="1"/>
  <c r="AC34" i="5"/>
  <c r="Z33" i="6" s="1"/>
  <c r="AC64" i="5"/>
  <c r="Z63" i="6" s="1"/>
  <c r="AC19" i="5"/>
  <c r="Z18" i="6" s="1"/>
  <c r="AC45" i="5"/>
  <c r="Z44" i="6" s="1"/>
  <c r="AC27" i="5"/>
  <c r="Z26" i="6" s="1"/>
  <c r="AC51" i="5"/>
  <c r="Z50" i="6" s="1"/>
  <c r="AC62" i="5"/>
  <c r="Z61" i="6" s="1"/>
  <c r="AC37" i="5"/>
  <c r="Z36" i="6" s="1"/>
  <c r="AC5" i="5"/>
  <c r="Z4" i="6" s="1"/>
  <c r="AC7" i="5"/>
  <c r="Z6" i="6" s="1"/>
  <c r="AC17" i="5"/>
  <c r="Z16" i="6" s="1"/>
  <c r="AC11" i="5"/>
  <c r="Z10" i="6" s="1"/>
  <c r="AC25" i="5"/>
  <c r="Z24" i="6" s="1"/>
  <c r="AC54" i="5"/>
  <c r="Z53" i="6" s="1"/>
  <c r="AC33" i="5"/>
  <c r="Z32" i="6" s="1"/>
  <c r="AC49" i="5"/>
  <c r="Z48" i="6" s="1"/>
  <c r="AC60" i="5"/>
  <c r="Z59" i="6" s="1"/>
  <c r="AC59" i="5"/>
  <c r="Z58" i="6" s="1"/>
  <c r="AC57" i="5"/>
  <c r="Z56" i="6" s="1"/>
  <c r="AC14" i="5"/>
  <c r="Z13" i="6" s="1"/>
  <c r="AC50" i="5"/>
  <c r="Z49" i="6" s="1"/>
  <c r="AC61" i="5"/>
  <c r="Z60" i="6" s="1"/>
  <c r="AC22" i="5"/>
  <c r="Z21" i="6" s="1"/>
  <c r="AC39" i="5"/>
  <c r="Z38" i="6" s="1"/>
  <c r="AC53" i="5"/>
  <c r="Z52" i="6" s="1"/>
  <c r="AC35" i="5"/>
  <c r="Z34" i="6" s="1"/>
  <c r="AC56" i="5"/>
  <c r="Z55" i="6" s="1"/>
  <c r="AC24" i="5"/>
  <c r="Z23" i="6" s="1"/>
  <c r="AC30" i="5"/>
  <c r="Z29" i="6" s="1"/>
  <c r="AC13" i="5"/>
  <c r="Z12" i="6" s="1"/>
  <c r="AC15" i="5"/>
  <c r="Z14" i="6" s="1"/>
  <c r="AC8" i="5"/>
  <c r="Z7" i="6" s="1"/>
  <c r="AC41" i="5"/>
  <c r="Z40" i="6" s="1"/>
  <c r="AC63" i="5"/>
  <c r="Z62" i="6" s="1"/>
  <c r="AC18" i="5"/>
  <c r="Z17" i="6" s="1"/>
  <c r="AC40" i="5"/>
  <c r="Z39" i="6" s="1"/>
  <c r="AC65" i="5"/>
  <c r="Z64" i="6" s="1"/>
  <c r="AC52" i="5"/>
  <c r="Z51" i="6" s="1"/>
  <c r="AC23" i="5"/>
  <c r="Z22" i="6" s="1"/>
  <c r="AC9" i="5"/>
  <c r="Z8" i="6" s="1"/>
  <c r="AC46" i="5"/>
  <c r="Z45" i="6" s="1"/>
  <c r="AC10" i="5"/>
  <c r="Z9" i="6" s="1"/>
  <c r="AC36" i="5"/>
  <c r="Z35" i="6" s="1"/>
  <c r="AC26" i="5"/>
  <c r="Z25" i="6" s="1"/>
  <c r="AC43" i="5"/>
  <c r="Z42" i="6" s="1"/>
  <c r="AC48" i="5"/>
  <c r="Z47" i="6" s="1"/>
  <c r="AC16" i="5"/>
  <c r="Z15" i="6" s="1"/>
  <c r="AC42" i="5"/>
  <c r="Z41" i="6" s="1"/>
  <c r="AC12" i="5"/>
  <c r="Z11" i="6" s="1"/>
  <c r="AC20" i="5"/>
  <c r="Z19" i="6" s="1"/>
  <c r="AC6" i="5"/>
  <c r="Z5" i="6" s="1"/>
  <c r="AC21" i="5"/>
  <c r="Z20" i="6" s="1"/>
  <c r="AC55" i="5"/>
  <c r="Z54" i="6" s="1"/>
  <c r="AC31" i="5"/>
  <c r="Z30" i="6" s="1"/>
  <c r="V65" i="6"/>
  <c r="Y53" i="5"/>
  <c r="V52" i="6" s="1"/>
  <c r="Y18" i="5"/>
  <c r="V17" i="6" s="1"/>
  <c r="Y54" i="5"/>
  <c r="V53" i="6" s="1"/>
  <c r="Y55" i="5"/>
  <c r="V54" i="6" s="1"/>
  <c r="Y49" i="5"/>
  <c r="V48" i="6" s="1"/>
  <c r="Y51" i="5"/>
  <c r="V50" i="6" s="1"/>
  <c r="Y8" i="5"/>
  <c r="V7" i="6" s="1"/>
  <c r="Y33" i="5"/>
  <c r="V32" i="6" s="1"/>
  <c r="Y38" i="5"/>
  <c r="V37" i="6" s="1"/>
  <c r="Y5" i="5"/>
  <c r="V4" i="6" s="1"/>
  <c r="Y37" i="5"/>
  <c r="V36" i="6" s="1"/>
  <c r="Y61" i="5"/>
  <c r="V60" i="6" s="1"/>
  <c r="Y10" i="5"/>
  <c r="V9" i="6" s="1"/>
  <c r="Y63" i="5"/>
  <c r="V62" i="6" s="1"/>
  <c r="Y27" i="5"/>
  <c r="V26" i="6" s="1"/>
  <c r="Y64" i="5"/>
  <c r="V63" i="6" s="1"/>
  <c r="Y41" i="5"/>
  <c r="V40" i="6" s="1"/>
  <c r="Y44" i="5"/>
  <c r="V43" i="6" s="1"/>
  <c r="Y50" i="5"/>
  <c r="V49" i="6" s="1"/>
  <c r="Y7" i="5"/>
  <c r="V6" i="6" s="1"/>
  <c r="Y48" i="5"/>
  <c r="V47" i="6" s="1"/>
  <c r="Y21" i="5"/>
  <c r="V20" i="6" s="1"/>
  <c r="Y45" i="5"/>
  <c r="V44" i="6" s="1"/>
  <c r="Y31" i="5"/>
  <c r="V30" i="6" s="1"/>
  <c r="Y62" i="5"/>
  <c r="V61" i="6" s="1"/>
  <c r="Y19" i="5"/>
  <c r="V18" i="6" s="1"/>
  <c r="Y17" i="5"/>
  <c r="V16" i="6" s="1"/>
  <c r="Y12" i="5"/>
  <c r="V11" i="6" s="1"/>
  <c r="Y57" i="5"/>
  <c r="V56" i="6" s="1"/>
  <c r="Y58" i="5"/>
  <c r="V57" i="6" s="1"/>
  <c r="Y30" i="5"/>
  <c r="V29" i="6" s="1"/>
  <c r="Y46" i="5"/>
  <c r="V45" i="6" s="1"/>
  <c r="Y28" i="5"/>
  <c r="V27" i="6" s="1"/>
  <c r="Y52" i="5"/>
  <c r="V51" i="6" s="1"/>
  <c r="Y60" i="5"/>
  <c r="V59" i="6" s="1"/>
  <c r="Y15" i="5"/>
  <c r="V14" i="6" s="1"/>
  <c r="Y36" i="5"/>
  <c r="V35" i="6" s="1"/>
  <c r="Y16" i="5"/>
  <c r="V15" i="6" s="1"/>
  <c r="Y11" i="5"/>
  <c r="V10" i="6" s="1"/>
  <c r="Y9" i="5"/>
  <c r="V8" i="6" s="1"/>
  <c r="Y6" i="5"/>
  <c r="V5" i="6" s="1"/>
  <c r="Y29" i="5"/>
  <c r="V28" i="6" s="1"/>
  <c r="Y39" i="5"/>
  <c r="V38" i="6" s="1"/>
  <c r="Y40" i="5"/>
  <c r="V39" i="6" s="1"/>
  <c r="Y20" i="5"/>
  <c r="V19" i="6" s="1"/>
  <c r="Y42" i="5"/>
  <c r="V41" i="6" s="1"/>
  <c r="Y23" i="5"/>
  <c r="V22" i="6" s="1"/>
  <c r="Y47" i="5"/>
  <c r="V46" i="6" s="1"/>
  <c r="Y22" i="5"/>
  <c r="V21" i="6" s="1"/>
  <c r="Y59" i="5"/>
  <c r="V58" i="6" s="1"/>
  <c r="Y24" i="5"/>
  <c r="V23" i="6" s="1"/>
  <c r="Y32" i="5"/>
  <c r="V31" i="6" s="1"/>
  <c r="Y34" i="5"/>
  <c r="V33" i="6" s="1"/>
  <c r="Y14" i="5"/>
  <c r="V13" i="6" s="1"/>
  <c r="Y13" i="5"/>
  <c r="V12" i="6" s="1"/>
  <c r="Y43" i="5"/>
  <c r="V42" i="6" s="1"/>
  <c r="Y25" i="5"/>
  <c r="V24" i="6" s="1"/>
  <c r="Y35" i="5"/>
  <c r="V34" i="6" s="1"/>
  <c r="Y26" i="5"/>
  <c r="V25" i="6" s="1"/>
  <c r="Y56" i="5"/>
  <c r="V55" i="6" s="1"/>
  <c r="Y65" i="5"/>
  <c r="V64" i="6" s="1"/>
  <c r="N65" i="6"/>
  <c r="Z57" i="4"/>
  <c r="Z12" i="4"/>
  <c r="Z32" i="4"/>
  <c r="Z63" i="4"/>
  <c r="Z39" i="4"/>
  <c r="Z55" i="4"/>
  <c r="Z50" i="4"/>
  <c r="Z34" i="4"/>
  <c r="Z65" i="4"/>
  <c r="Z9" i="4"/>
  <c r="Z41" i="4"/>
  <c r="Z53" i="4"/>
  <c r="Z36" i="4"/>
  <c r="Z6" i="4"/>
  <c r="Z31" i="4"/>
  <c r="Z33" i="4"/>
  <c r="Z46" i="4"/>
  <c r="Z38" i="4"/>
  <c r="Z19" i="4"/>
  <c r="Z29" i="4"/>
  <c r="Z25" i="4"/>
  <c r="Z37" i="4"/>
  <c r="Z11" i="4"/>
  <c r="Z35" i="4"/>
  <c r="Z52" i="4"/>
  <c r="Z7" i="4"/>
  <c r="Z54" i="4"/>
  <c r="Z56" i="4"/>
  <c r="Z14" i="4"/>
  <c r="Z21" i="4"/>
  <c r="Z44" i="4"/>
  <c r="Z8" i="4"/>
  <c r="Z40" i="4"/>
  <c r="Z13" i="4"/>
  <c r="Z59" i="4"/>
  <c r="Z24" i="4"/>
  <c r="Z30" i="4"/>
  <c r="Z47" i="4"/>
  <c r="Z20" i="4"/>
  <c r="Z26" i="4"/>
  <c r="Z15" i="4"/>
  <c r="Z23" i="4"/>
  <c r="Z60" i="4"/>
  <c r="Z28" i="4"/>
  <c r="Z61" i="4"/>
  <c r="Z62" i="4"/>
  <c r="Z42" i="4"/>
  <c r="Z64" i="4"/>
  <c r="Z22" i="4"/>
  <c r="Z45" i="4"/>
  <c r="Z58" i="4"/>
  <c r="Z48" i="4"/>
  <c r="Z51" i="4"/>
  <c r="Z27" i="4"/>
  <c r="Z5" i="4"/>
  <c r="Z43" i="4"/>
  <c r="Z17" i="4"/>
  <c r="Z10" i="4"/>
  <c r="Z18" i="4"/>
  <c r="Z49" i="4"/>
  <c r="Z16" i="4"/>
  <c r="AA63" i="5"/>
  <c r="X62" i="6" s="1"/>
  <c r="X65" i="6"/>
  <c r="AA59" i="5"/>
  <c r="X58" i="6" s="1"/>
  <c r="AA42" i="5"/>
  <c r="X41" i="6" s="1"/>
  <c r="AA52" i="5"/>
  <c r="X51" i="6" s="1"/>
  <c r="AA7" i="5"/>
  <c r="X6" i="6" s="1"/>
  <c r="AA40" i="5"/>
  <c r="X39" i="6" s="1"/>
  <c r="AA33" i="5"/>
  <c r="X32" i="6" s="1"/>
  <c r="AA11" i="5"/>
  <c r="X10" i="6" s="1"/>
  <c r="AA47" i="5"/>
  <c r="X46" i="6" s="1"/>
  <c r="AA36" i="5"/>
  <c r="X35" i="6" s="1"/>
  <c r="AA50" i="5"/>
  <c r="X49" i="6" s="1"/>
  <c r="AA43" i="5"/>
  <c r="X42" i="6" s="1"/>
  <c r="AA34" i="5"/>
  <c r="X33" i="6" s="1"/>
  <c r="AA20" i="5"/>
  <c r="X19" i="6" s="1"/>
  <c r="AA14" i="5"/>
  <c r="X13" i="6" s="1"/>
  <c r="AA49" i="5"/>
  <c r="X48" i="6" s="1"/>
  <c r="AA45" i="5"/>
  <c r="X44" i="6" s="1"/>
  <c r="AA13" i="5"/>
  <c r="X12" i="6" s="1"/>
  <c r="AA55" i="5"/>
  <c r="X54" i="6" s="1"/>
  <c r="AA58" i="5"/>
  <c r="X57" i="6" s="1"/>
  <c r="AA9" i="5"/>
  <c r="X8" i="6" s="1"/>
  <c r="AA53" i="5"/>
  <c r="X52" i="6" s="1"/>
  <c r="AA51" i="5"/>
  <c r="X50" i="6" s="1"/>
  <c r="AA26" i="5"/>
  <c r="X25" i="6" s="1"/>
  <c r="AA22" i="5"/>
  <c r="X21" i="6" s="1"/>
  <c r="AA5" i="5"/>
  <c r="X4" i="6" s="1"/>
  <c r="AA10" i="5"/>
  <c r="X9" i="6" s="1"/>
  <c r="AA64" i="5"/>
  <c r="X63" i="6" s="1"/>
  <c r="AA29" i="5"/>
  <c r="X28" i="6" s="1"/>
  <c r="AA62" i="5"/>
  <c r="X61" i="6" s="1"/>
  <c r="AA19" i="5"/>
  <c r="X18" i="6" s="1"/>
  <c r="AA31" i="5"/>
  <c r="X30" i="6" s="1"/>
  <c r="AA38" i="5"/>
  <c r="X37" i="6" s="1"/>
  <c r="AA44" i="5"/>
  <c r="X43" i="6" s="1"/>
  <c r="AA16" i="5"/>
  <c r="X15" i="6" s="1"/>
  <c r="AA56" i="5"/>
  <c r="X55" i="6" s="1"/>
  <c r="AA48" i="5"/>
  <c r="X47" i="6" s="1"/>
  <c r="AA57" i="5"/>
  <c r="X56" i="6" s="1"/>
  <c r="AA23" i="5"/>
  <c r="X22" i="6" s="1"/>
  <c r="AA54" i="5"/>
  <c r="X53" i="6" s="1"/>
  <c r="AA21" i="5"/>
  <c r="X20" i="6" s="1"/>
  <c r="AA30" i="5"/>
  <c r="X29" i="6" s="1"/>
  <c r="AA8" i="5"/>
  <c r="X7" i="6" s="1"/>
  <c r="AA46" i="5"/>
  <c r="X45" i="6" s="1"/>
  <c r="AA60" i="5"/>
  <c r="X59" i="6" s="1"/>
  <c r="AA65" i="5"/>
  <c r="X64" i="6" s="1"/>
  <c r="AA25" i="5"/>
  <c r="X24" i="6" s="1"/>
  <c r="AA6" i="5"/>
  <c r="X5" i="6" s="1"/>
  <c r="AA37" i="5"/>
  <c r="X36" i="6" s="1"/>
  <c r="AA27" i="5"/>
  <c r="X26" i="6" s="1"/>
  <c r="AA18" i="5"/>
  <c r="X17" i="6" s="1"/>
  <c r="AA12" i="5"/>
  <c r="X11" i="6" s="1"/>
  <c r="AA28" i="5"/>
  <c r="X27" i="6" s="1"/>
  <c r="AA17" i="5"/>
  <c r="X16" i="6" s="1"/>
  <c r="AA61" i="5"/>
  <c r="X60" i="6" s="1"/>
  <c r="AA32" i="5"/>
  <c r="X31" i="6" s="1"/>
  <c r="AA35" i="5"/>
  <c r="X34" i="6" s="1"/>
  <c r="AA39" i="5"/>
  <c r="X38" i="6" s="1"/>
  <c r="AA41" i="5"/>
  <c r="X40" i="6" s="1"/>
  <c r="AA15" i="5"/>
  <c r="X14" i="6" s="1"/>
  <c r="AA24" i="5"/>
  <c r="X23" i="6" s="1"/>
  <c r="Q65" i="6"/>
  <c r="AC17" i="4"/>
  <c r="AC53" i="4"/>
  <c r="AC13" i="4"/>
  <c r="AC37" i="4"/>
  <c r="AC16" i="4"/>
  <c r="AC5" i="4"/>
  <c r="AC15" i="4"/>
  <c r="AC48" i="4"/>
  <c r="AC42" i="4"/>
  <c r="AC33" i="4"/>
  <c r="AC28" i="4"/>
  <c r="AC20" i="4"/>
  <c r="AC62" i="4"/>
  <c r="AC60" i="4"/>
  <c r="AC39" i="4"/>
  <c r="AC7" i="4"/>
  <c r="AC34" i="4"/>
  <c r="AC26" i="4"/>
  <c r="AC24" i="4"/>
  <c r="AC52" i="4"/>
  <c r="AC57" i="4"/>
  <c r="AC55" i="4"/>
  <c r="AC23" i="4"/>
  <c r="AC44" i="4"/>
  <c r="AC6" i="4"/>
  <c r="AC35" i="4"/>
  <c r="AC54" i="4"/>
  <c r="AC43" i="4"/>
  <c r="AC11" i="4"/>
  <c r="AC18" i="4"/>
  <c r="AC30" i="4"/>
  <c r="AC51" i="4"/>
  <c r="AC19" i="4"/>
  <c r="AC65" i="4"/>
  <c r="AC64" i="4"/>
  <c r="AC29" i="4"/>
  <c r="AC22" i="4"/>
  <c r="AC45" i="4"/>
  <c r="AC41" i="4"/>
  <c r="AC31" i="4"/>
  <c r="AC63" i="4"/>
  <c r="AC21" i="4"/>
  <c r="AC10" i="4"/>
  <c r="AC12" i="4"/>
  <c r="AC59" i="4"/>
  <c r="AC32" i="4"/>
  <c r="AC47" i="4"/>
  <c r="AC8" i="4"/>
  <c r="AC14" i="4"/>
  <c r="AC46" i="4"/>
  <c r="AC40" i="4"/>
  <c r="AC61" i="4"/>
  <c r="AC38" i="4"/>
  <c r="AC56" i="4"/>
  <c r="AC9" i="4"/>
  <c r="AC27" i="4"/>
  <c r="AC25" i="4"/>
  <c r="AC36" i="4"/>
  <c r="AC58" i="4"/>
  <c r="AC49" i="4"/>
  <c r="AC50" i="4"/>
  <c r="I65" i="6"/>
  <c r="AC67" i="2"/>
  <c r="P34" i="6" l="1"/>
  <c r="AQ34" i="6" s="1"/>
  <c r="AL35" i="4"/>
  <c r="Q49" i="6"/>
  <c r="AR49" i="6" s="1"/>
  <c r="AM50" i="4"/>
  <c r="Q37" i="6"/>
  <c r="AR37" i="6" s="1"/>
  <c r="AM38" i="4"/>
  <c r="Q58" i="6"/>
  <c r="AR58" i="6" s="1"/>
  <c r="AM59" i="4"/>
  <c r="Q21" i="6"/>
  <c r="AR21" i="6" s="1"/>
  <c r="AM22" i="4"/>
  <c r="Q10" i="6"/>
  <c r="AR10" i="6" s="1"/>
  <c r="AM11" i="4"/>
  <c r="Q56" i="6"/>
  <c r="AR56" i="6" s="1"/>
  <c r="AM57" i="4"/>
  <c r="Q61" i="6"/>
  <c r="AR61" i="6" s="1"/>
  <c r="AM62" i="4"/>
  <c r="Q15" i="6"/>
  <c r="AR15" i="6" s="1"/>
  <c r="AM16" i="4"/>
  <c r="N16" i="6"/>
  <c r="AO16" i="6" s="1"/>
  <c r="AJ17" i="4"/>
  <c r="N21" i="6"/>
  <c r="AO21" i="6" s="1"/>
  <c r="AJ22" i="4"/>
  <c r="N39" i="6"/>
  <c r="AO39" i="6" s="1"/>
  <c r="AJ40" i="4"/>
  <c r="N51" i="6"/>
  <c r="AO51" i="6" s="1"/>
  <c r="AJ52" i="4"/>
  <c r="N45" i="6"/>
  <c r="AO45" i="6" s="1"/>
  <c r="AJ46" i="4"/>
  <c r="N64" i="6"/>
  <c r="AO64" i="6" s="1"/>
  <c r="AJ65" i="4"/>
  <c r="N56" i="6"/>
  <c r="AO56" i="6" s="1"/>
  <c r="AJ57" i="4"/>
  <c r="O63" i="6"/>
  <c r="AP63" i="6" s="1"/>
  <c r="AK64" i="4"/>
  <c r="O47" i="6"/>
  <c r="AP47" i="6" s="1"/>
  <c r="AK48" i="4"/>
  <c r="O14" i="6"/>
  <c r="AP14" i="6" s="1"/>
  <c r="AK15" i="4"/>
  <c r="O59" i="6"/>
  <c r="AP59" i="6" s="1"/>
  <c r="AK60" i="4"/>
  <c r="O60" i="6"/>
  <c r="AP60" i="6" s="1"/>
  <c r="AK61" i="4"/>
  <c r="O20" i="6"/>
  <c r="AP20" i="6" s="1"/>
  <c r="AK21" i="4"/>
  <c r="O39" i="6"/>
  <c r="AP39" i="6" s="1"/>
  <c r="AK40" i="4"/>
  <c r="O8" i="6"/>
  <c r="AP8" i="6" s="1"/>
  <c r="AK9" i="4"/>
  <c r="L49" i="6"/>
  <c r="AM49" i="6" s="1"/>
  <c r="AH50" i="4"/>
  <c r="L45" i="6"/>
  <c r="AM45" i="6" s="1"/>
  <c r="AH46" i="4"/>
  <c r="L50" i="6"/>
  <c r="AM50" i="6" s="1"/>
  <c r="AH51" i="4"/>
  <c r="L12" i="6"/>
  <c r="AM12" i="6" s="1"/>
  <c r="AH13" i="4"/>
  <c r="L41" i="6"/>
  <c r="AM41" i="6" s="1"/>
  <c r="AH42" i="4"/>
  <c r="L20" i="6"/>
  <c r="AM20" i="6" s="1"/>
  <c r="AH21" i="4"/>
  <c r="L6" i="6"/>
  <c r="AM6" i="6" s="1"/>
  <c r="AH7" i="4"/>
  <c r="M18" i="6"/>
  <c r="AN18" i="6" s="1"/>
  <c r="AI19" i="4"/>
  <c r="M22" i="6"/>
  <c r="AN22" i="6" s="1"/>
  <c r="AI23" i="4"/>
  <c r="M58" i="6"/>
  <c r="AN58" i="6" s="1"/>
  <c r="AI59" i="4"/>
  <c r="M15" i="6"/>
  <c r="AN15" i="6" s="1"/>
  <c r="AI16" i="4"/>
  <c r="M41" i="6"/>
  <c r="AN41" i="6" s="1"/>
  <c r="AI42" i="4"/>
  <c r="M49" i="6"/>
  <c r="AN49" i="6" s="1"/>
  <c r="AI50" i="4"/>
  <c r="M40" i="6"/>
  <c r="AN40" i="6" s="1"/>
  <c r="AI41" i="4"/>
  <c r="M21" i="6"/>
  <c r="AN21" i="6" s="1"/>
  <c r="AI22" i="4"/>
  <c r="R10" i="6"/>
  <c r="AS10" i="6" s="1"/>
  <c r="AN11" i="4"/>
  <c r="R28" i="6"/>
  <c r="AS28" i="6" s="1"/>
  <c r="AN29" i="4"/>
  <c r="R34" i="6"/>
  <c r="AS34" i="6" s="1"/>
  <c r="AN35" i="4"/>
  <c r="R42" i="6"/>
  <c r="AS42" i="6" s="1"/>
  <c r="AN43" i="4"/>
  <c r="R24" i="6"/>
  <c r="AS24" i="6" s="1"/>
  <c r="AN25" i="4"/>
  <c r="R8" i="6"/>
  <c r="AS8" i="6" s="1"/>
  <c r="AN9" i="4"/>
  <c r="R43" i="6"/>
  <c r="AS43" i="6" s="1"/>
  <c r="AN44" i="4"/>
  <c r="R40" i="6"/>
  <c r="AS40" i="6" s="1"/>
  <c r="AN41" i="4"/>
  <c r="P24" i="6"/>
  <c r="AQ24" i="6" s="1"/>
  <c r="AL25" i="4"/>
  <c r="P42" i="6"/>
  <c r="AQ42" i="6" s="1"/>
  <c r="AL43" i="4"/>
  <c r="P51" i="6"/>
  <c r="AQ51" i="6" s="1"/>
  <c r="AL52" i="4"/>
  <c r="P56" i="6"/>
  <c r="AQ56" i="6" s="1"/>
  <c r="AL57" i="4"/>
  <c r="P20" i="6"/>
  <c r="AQ20" i="6" s="1"/>
  <c r="AL21" i="4"/>
  <c r="P30" i="6"/>
  <c r="AQ30" i="6" s="1"/>
  <c r="AL31" i="4"/>
  <c r="Q48" i="6"/>
  <c r="AR48" i="6" s="1"/>
  <c r="AM49" i="4"/>
  <c r="Q60" i="6"/>
  <c r="AR60" i="6" s="1"/>
  <c r="AM61" i="4"/>
  <c r="Q11" i="6"/>
  <c r="AR11" i="6" s="1"/>
  <c r="AM12" i="4"/>
  <c r="Q28" i="6"/>
  <c r="AR28" i="6" s="1"/>
  <c r="AM29" i="4"/>
  <c r="Q42" i="6"/>
  <c r="AR42" i="6" s="1"/>
  <c r="AM43" i="4"/>
  <c r="Q51" i="6"/>
  <c r="AR51" i="6" s="1"/>
  <c r="AM52" i="4"/>
  <c r="Q19" i="6"/>
  <c r="AR19" i="6" s="1"/>
  <c r="AM20" i="4"/>
  <c r="Q36" i="6"/>
  <c r="AR36" i="6" s="1"/>
  <c r="AM37" i="4"/>
  <c r="N42" i="6"/>
  <c r="AO42" i="6" s="1"/>
  <c r="AJ43" i="4"/>
  <c r="N63" i="6"/>
  <c r="AO63" i="6" s="1"/>
  <c r="AJ64" i="4"/>
  <c r="N25" i="6"/>
  <c r="AO25" i="6" s="1"/>
  <c r="AJ26" i="4"/>
  <c r="N7" i="6"/>
  <c r="AO7" i="6" s="1"/>
  <c r="AJ8" i="4"/>
  <c r="N34" i="6"/>
  <c r="AO34" i="6" s="1"/>
  <c r="AJ35" i="4"/>
  <c r="N32" i="6"/>
  <c r="AO32" i="6" s="1"/>
  <c r="AJ33" i="4"/>
  <c r="N33" i="6"/>
  <c r="AO33" i="6" s="1"/>
  <c r="AJ34" i="4"/>
  <c r="O24" i="6"/>
  <c r="AP24" i="6" s="1"/>
  <c r="AK25" i="4"/>
  <c r="O25" i="6"/>
  <c r="AP25" i="6" s="1"/>
  <c r="AK26" i="4"/>
  <c r="O49" i="6"/>
  <c r="AP49" i="6" s="1"/>
  <c r="AK50" i="4"/>
  <c r="O29" i="6"/>
  <c r="AP29" i="6" s="1"/>
  <c r="AK30" i="4"/>
  <c r="O62" i="6"/>
  <c r="AP62" i="6" s="1"/>
  <c r="AK63" i="4"/>
  <c r="O42" i="6"/>
  <c r="AP42" i="6" s="1"/>
  <c r="AK43" i="4"/>
  <c r="O31" i="6"/>
  <c r="AP31" i="6" s="1"/>
  <c r="AK32" i="4"/>
  <c r="L62" i="6"/>
  <c r="AM62" i="6" s="1"/>
  <c r="AH63" i="4"/>
  <c r="L57" i="6"/>
  <c r="AM57" i="6" s="1"/>
  <c r="AH58" i="4"/>
  <c r="L11" i="6"/>
  <c r="AM11" i="6" s="1"/>
  <c r="AH12" i="4"/>
  <c r="L26" i="6"/>
  <c r="AM26" i="6" s="1"/>
  <c r="AH27" i="4"/>
  <c r="L36" i="6"/>
  <c r="AM36" i="6" s="1"/>
  <c r="AH37" i="4"/>
  <c r="L43" i="6"/>
  <c r="AM43" i="6" s="1"/>
  <c r="AH44" i="4"/>
  <c r="L58" i="6"/>
  <c r="AM58" i="6" s="1"/>
  <c r="AH59" i="4"/>
  <c r="M13" i="6"/>
  <c r="AN13" i="6" s="1"/>
  <c r="AI14" i="4"/>
  <c r="M27" i="6"/>
  <c r="AN27" i="6" s="1"/>
  <c r="AI28" i="4"/>
  <c r="M37" i="6"/>
  <c r="AN37" i="6" s="1"/>
  <c r="AI38" i="4"/>
  <c r="M50" i="6"/>
  <c r="AN50" i="6" s="1"/>
  <c r="AI51" i="4"/>
  <c r="M4" i="6"/>
  <c r="AN4" i="6" s="1"/>
  <c r="AI5" i="4"/>
  <c r="M52" i="6"/>
  <c r="AN52" i="6" s="1"/>
  <c r="AI53" i="4"/>
  <c r="M17" i="6"/>
  <c r="AN17" i="6" s="1"/>
  <c r="AI18" i="4"/>
  <c r="M46" i="6"/>
  <c r="AN46" i="6" s="1"/>
  <c r="AI47" i="4"/>
  <c r="R25" i="6"/>
  <c r="AS25" i="6" s="1"/>
  <c r="AN26" i="4"/>
  <c r="R49" i="6"/>
  <c r="AS49" i="6" s="1"/>
  <c r="AN50" i="4"/>
  <c r="R29" i="6"/>
  <c r="AS29" i="6" s="1"/>
  <c r="AN30" i="4"/>
  <c r="R21" i="6"/>
  <c r="AS21" i="6" s="1"/>
  <c r="AN22" i="4"/>
  <c r="R31" i="6"/>
  <c r="AS31" i="6" s="1"/>
  <c r="AN32" i="4"/>
  <c r="R54" i="6"/>
  <c r="AS54" i="6" s="1"/>
  <c r="AN55" i="4"/>
  <c r="R27" i="6"/>
  <c r="AS27" i="6" s="1"/>
  <c r="AN28" i="4"/>
  <c r="R37" i="6"/>
  <c r="AS37" i="6" s="1"/>
  <c r="AN38" i="4"/>
  <c r="P7" i="6"/>
  <c r="AQ7" i="6" s="1"/>
  <c r="AL8" i="4"/>
  <c r="P37" i="6"/>
  <c r="AQ37" i="6" s="1"/>
  <c r="AL38" i="4"/>
  <c r="P46" i="6"/>
  <c r="AQ46" i="6" s="1"/>
  <c r="AL47" i="4"/>
  <c r="P40" i="6"/>
  <c r="AQ40" i="6" s="1"/>
  <c r="AL41" i="4"/>
  <c r="P52" i="6"/>
  <c r="AQ52" i="6" s="1"/>
  <c r="AL53" i="4"/>
  <c r="P25" i="6"/>
  <c r="AQ25" i="6" s="1"/>
  <c r="AL26" i="4"/>
  <c r="P39" i="6"/>
  <c r="AQ39" i="6" s="1"/>
  <c r="AL40" i="4"/>
  <c r="P49" i="6"/>
  <c r="AQ49" i="6" s="1"/>
  <c r="AL50" i="4"/>
  <c r="Q57" i="6"/>
  <c r="AR57" i="6" s="1"/>
  <c r="AM58" i="4"/>
  <c r="Q39" i="6"/>
  <c r="AR39" i="6" s="1"/>
  <c r="AM40" i="4"/>
  <c r="Q9" i="6"/>
  <c r="AR9" i="6" s="1"/>
  <c r="AM10" i="4"/>
  <c r="Q63" i="6"/>
  <c r="AR63" i="6" s="1"/>
  <c r="AM64" i="4"/>
  <c r="Q53" i="6"/>
  <c r="AR53" i="6" s="1"/>
  <c r="AM54" i="4"/>
  <c r="Q23" i="6"/>
  <c r="AR23" i="6" s="1"/>
  <c r="AM24" i="4"/>
  <c r="Q27" i="6"/>
  <c r="AR27" i="6" s="1"/>
  <c r="AM28" i="4"/>
  <c r="Q12" i="6"/>
  <c r="AR12" i="6" s="1"/>
  <c r="AM13" i="4"/>
  <c r="N4" i="6"/>
  <c r="AO4" i="6" s="1"/>
  <c r="AJ5" i="4"/>
  <c r="N41" i="6"/>
  <c r="AO41" i="6" s="1"/>
  <c r="AJ42" i="4"/>
  <c r="N19" i="6"/>
  <c r="AO19" i="6" s="1"/>
  <c r="AJ20" i="4"/>
  <c r="N43" i="6"/>
  <c r="AO43" i="6" s="1"/>
  <c r="AJ44" i="4"/>
  <c r="N10" i="6"/>
  <c r="AO10" i="6" s="1"/>
  <c r="AJ11" i="4"/>
  <c r="N30" i="6"/>
  <c r="AO30" i="6" s="1"/>
  <c r="AJ31" i="4"/>
  <c r="N49" i="6"/>
  <c r="AO49" i="6" s="1"/>
  <c r="AJ50" i="4"/>
  <c r="O12" i="6"/>
  <c r="AP12" i="6" s="1"/>
  <c r="AK13" i="4"/>
  <c r="O23" i="6"/>
  <c r="AP23" i="6" s="1"/>
  <c r="AK24" i="4"/>
  <c r="O35" i="6"/>
  <c r="AP35" i="6" s="1"/>
  <c r="AK36" i="4"/>
  <c r="O53" i="6"/>
  <c r="AP53" i="6" s="1"/>
  <c r="AK54" i="4"/>
  <c r="O17" i="6"/>
  <c r="AP17" i="6" s="1"/>
  <c r="AK18" i="4"/>
  <c r="O52" i="6"/>
  <c r="AP52" i="6" s="1"/>
  <c r="AK53" i="4"/>
  <c r="O58" i="6"/>
  <c r="AP58" i="6" s="1"/>
  <c r="AK59" i="4"/>
  <c r="L9" i="6"/>
  <c r="AM9" i="6" s="1"/>
  <c r="AH10" i="4"/>
  <c r="L25" i="6"/>
  <c r="AM25" i="6" s="1"/>
  <c r="AH26" i="4"/>
  <c r="L22" i="6"/>
  <c r="AM22" i="6" s="1"/>
  <c r="AH23" i="4"/>
  <c r="L52" i="6"/>
  <c r="AM52" i="6" s="1"/>
  <c r="AH53" i="4"/>
  <c r="L14" i="6"/>
  <c r="AM14" i="6" s="1"/>
  <c r="AH15" i="4"/>
  <c r="L15" i="6"/>
  <c r="AM15" i="6" s="1"/>
  <c r="AH16" i="4"/>
  <c r="L29" i="6"/>
  <c r="AM29" i="6" s="1"/>
  <c r="AH30" i="4"/>
  <c r="L42" i="6"/>
  <c r="AM42" i="6" s="1"/>
  <c r="AH43" i="4"/>
  <c r="M35" i="6"/>
  <c r="AN35" i="6" s="1"/>
  <c r="AI36" i="4"/>
  <c r="M5" i="6"/>
  <c r="AN5" i="6" s="1"/>
  <c r="AI6" i="4"/>
  <c r="M24" i="6"/>
  <c r="AN24" i="6" s="1"/>
  <c r="AI25" i="4"/>
  <c r="M59" i="6"/>
  <c r="AN59" i="6" s="1"/>
  <c r="AI60" i="4"/>
  <c r="M47" i="6"/>
  <c r="AN47" i="6" s="1"/>
  <c r="AI48" i="4"/>
  <c r="M26" i="6"/>
  <c r="AN26" i="6" s="1"/>
  <c r="AI27" i="4"/>
  <c r="M39" i="6"/>
  <c r="AN39" i="6" s="1"/>
  <c r="AI40" i="4"/>
  <c r="M19" i="6"/>
  <c r="AN19" i="6" s="1"/>
  <c r="AI20" i="4"/>
  <c r="R39" i="6"/>
  <c r="AS39" i="6" s="1"/>
  <c r="AN40" i="4"/>
  <c r="R6" i="6"/>
  <c r="AS6" i="6" s="1"/>
  <c r="AN7" i="4"/>
  <c r="R33" i="6"/>
  <c r="AS33" i="6" s="1"/>
  <c r="AN34" i="4"/>
  <c r="R22" i="6"/>
  <c r="AS22" i="6" s="1"/>
  <c r="AN23" i="4"/>
  <c r="R62" i="6"/>
  <c r="AS62" i="6" s="1"/>
  <c r="AN63" i="4"/>
  <c r="R23" i="6"/>
  <c r="AS23" i="6" s="1"/>
  <c r="AN24" i="4"/>
  <c r="R9" i="6"/>
  <c r="AS9" i="6" s="1"/>
  <c r="AN10" i="4"/>
  <c r="R61" i="6"/>
  <c r="AS61" i="6" s="1"/>
  <c r="AN62" i="4"/>
  <c r="P23" i="6"/>
  <c r="AQ23" i="6" s="1"/>
  <c r="AL24" i="4"/>
  <c r="P64" i="6"/>
  <c r="AQ64" i="6" s="1"/>
  <c r="AL65" i="4"/>
  <c r="P5" i="6"/>
  <c r="AQ5" i="6" s="1"/>
  <c r="AL6" i="4"/>
  <c r="P14" i="6"/>
  <c r="AQ14" i="6" s="1"/>
  <c r="AL15" i="4"/>
  <c r="P9" i="6"/>
  <c r="AQ9" i="6" s="1"/>
  <c r="AL10" i="4"/>
  <c r="P8" i="6"/>
  <c r="AQ8" i="6" s="1"/>
  <c r="AL9" i="4"/>
  <c r="P35" i="6"/>
  <c r="AQ35" i="6" s="1"/>
  <c r="AL36" i="4"/>
  <c r="Q35" i="6"/>
  <c r="AR35" i="6" s="1"/>
  <c r="AM36" i="4"/>
  <c r="Q45" i="6"/>
  <c r="AR45" i="6" s="1"/>
  <c r="AM46" i="4"/>
  <c r="Q20" i="6"/>
  <c r="AR20" i="6" s="1"/>
  <c r="AM21" i="4"/>
  <c r="Q64" i="6"/>
  <c r="AR64" i="6" s="1"/>
  <c r="AM65" i="4"/>
  <c r="Q34" i="6"/>
  <c r="AR34" i="6" s="1"/>
  <c r="AM35" i="4"/>
  <c r="Q25" i="6"/>
  <c r="AR25" i="6" s="1"/>
  <c r="AM26" i="4"/>
  <c r="Q32" i="6"/>
  <c r="AR32" i="6" s="1"/>
  <c r="AM33" i="4"/>
  <c r="Q52" i="6"/>
  <c r="AR52" i="6" s="1"/>
  <c r="AM53" i="4"/>
  <c r="N26" i="6"/>
  <c r="AO26" i="6" s="1"/>
  <c r="AJ27" i="4"/>
  <c r="N61" i="6"/>
  <c r="AO61" i="6" s="1"/>
  <c r="AJ62" i="4"/>
  <c r="N46" i="6"/>
  <c r="AO46" i="6" s="1"/>
  <c r="AJ47" i="4"/>
  <c r="N20" i="6"/>
  <c r="AO20" i="6" s="1"/>
  <c r="AJ21" i="4"/>
  <c r="N36" i="6"/>
  <c r="AO36" i="6" s="1"/>
  <c r="AJ37" i="4"/>
  <c r="N5" i="6"/>
  <c r="AO5" i="6" s="1"/>
  <c r="AJ6" i="4"/>
  <c r="N54" i="6"/>
  <c r="AO54" i="6" s="1"/>
  <c r="AJ55" i="4"/>
  <c r="O50" i="6"/>
  <c r="AP50" i="6" s="1"/>
  <c r="AK51" i="4"/>
  <c r="O34" i="6"/>
  <c r="AP34" i="6" s="1"/>
  <c r="AK35" i="4"/>
  <c r="O22" i="6"/>
  <c r="AP22" i="6" s="1"/>
  <c r="AK23" i="4"/>
  <c r="O28" i="6"/>
  <c r="AP28" i="6" s="1"/>
  <c r="AK29" i="4"/>
  <c r="O64" i="6"/>
  <c r="AP64" i="6" s="1"/>
  <c r="AK65" i="4"/>
  <c r="O45" i="6"/>
  <c r="AP45" i="6" s="1"/>
  <c r="AK46" i="4"/>
  <c r="O4" i="6"/>
  <c r="AP4" i="6" s="1"/>
  <c r="AK5" i="4"/>
  <c r="L55" i="6"/>
  <c r="AM55" i="6" s="1"/>
  <c r="AH56" i="4"/>
  <c r="L37" i="6"/>
  <c r="AM37" i="6" s="1"/>
  <c r="AH38" i="4"/>
  <c r="L16" i="6"/>
  <c r="AM16" i="6" s="1"/>
  <c r="AH17" i="4"/>
  <c r="L13" i="6"/>
  <c r="AM13" i="6" s="1"/>
  <c r="AH14" i="4"/>
  <c r="L8" i="6"/>
  <c r="AM8" i="6" s="1"/>
  <c r="AH9" i="4"/>
  <c r="L46" i="6"/>
  <c r="AM46" i="6" s="1"/>
  <c r="AH47" i="4"/>
  <c r="L61" i="6"/>
  <c r="AM61" i="6" s="1"/>
  <c r="AH62" i="4"/>
  <c r="L23" i="6"/>
  <c r="AM23" i="6" s="1"/>
  <c r="AH24" i="4"/>
  <c r="M12" i="6"/>
  <c r="AN12" i="6" s="1"/>
  <c r="AI13" i="4"/>
  <c r="M42" i="6"/>
  <c r="AN42" i="6" s="1"/>
  <c r="AI43" i="4"/>
  <c r="M43" i="6"/>
  <c r="AN43" i="6" s="1"/>
  <c r="AI44" i="4"/>
  <c r="M57" i="6"/>
  <c r="AN57" i="6" s="1"/>
  <c r="AI58" i="4"/>
  <c r="M54" i="6"/>
  <c r="AN54" i="6" s="1"/>
  <c r="AI55" i="4"/>
  <c r="M30" i="6"/>
  <c r="AN30" i="6" s="1"/>
  <c r="AI31" i="4"/>
  <c r="M8" i="6"/>
  <c r="AN8" i="6" s="1"/>
  <c r="AI9" i="4"/>
  <c r="M23" i="6"/>
  <c r="AN23" i="6" s="1"/>
  <c r="AI24" i="4"/>
  <c r="R52" i="6"/>
  <c r="AS52" i="6" s="1"/>
  <c r="AN53" i="4"/>
  <c r="R55" i="6"/>
  <c r="AS55" i="6" s="1"/>
  <c r="AN56" i="4"/>
  <c r="R16" i="6"/>
  <c r="AS16" i="6" s="1"/>
  <c r="AN17" i="4"/>
  <c r="R64" i="6"/>
  <c r="AS64" i="6" s="1"/>
  <c r="AN65" i="4"/>
  <c r="R7" i="6"/>
  <c r="AS7" i="6" s="1"/>
  <c r="AN8" i="4"/>
  <c r="R26" i="6"/>
  <c r="AS26" i="6" s="1"/>
  <c r="AN27" i="4"/>
  <c r="R50" i="6"/>
  <c r="AS50" i="6" s="1"/>
  <c r="AN51" i="4"/>
  <c r="P28" i="6"/>
  <c r="AQ28" i="6" s="1"/>
  <c r="AL29" i="4"/>
  <c r="P50" i="6"/>
  <c r="AQ50" i="6" s="1"/>
  <c r="AL51" i="4"/>
  <c r="P16" i="6"/>
  <c r="AQ16" i="6" s="1"/>
  <c r="AL17" i="4"/>
  <c r="P22" i="6"/>
  <c r="AQ22" i="6" s="1"/>
  <c r="AL23" i="4"/>
  <c r="P26" i="6"/>
  <c r="AQ26" i="6" s="1"/>
  <c r="AL27" i="4"/>
  <c r="P60" i="6"/>
  <c r="AQ60" i="6" s="1"/>
  <c r="AL61" i="4"/>
  <c r="P19" i="6"/>
  <c r="AQ19" i="6" s="1"/>
  <c r="AL20" i="4"/>
  <c r="M16" i="6"/>
  <c r="AN16" i="6" s="1"/>
  <c r="AI17" i="4"/>
  <c r="M31" i="6"/>
  <c r="AN31" i="6" s="1"/>
  <c r="AI32" i="4"/>
  <c r="M48" i="6"/>
  <c r="AN48" i="6" s="1"/>
  <c r="AI49" i="4"/>
  <c r="M45" i="6"/>
  <c r="AN45" i="6" s="1"/>
  <c r="AI46" i="4"/>
  <c r="M34" i="6"/>
  <c r="AN34" i="6" s="1"/>
  <c r="AI35" i="4"/>
  <c r="M7" i="6"/>
  <c r="AN7" i="6" s="1"/>
  <c r="AI8" i="4"/>
  <c r="M28" i="6"/>
  <c r="AN28" i="6" s="1"/>
  <c r="AI29" i="4"/>
  <c r="M6" i="6"/>
  <c r="AN6" i="6" s="1"/>
  <c r="AI7" i="4"/>
  <c r="R12" i="6"/>
  <c r="AS12" i="6" s="1"/>
  <c r="AN13" i="4"/>
  <c r="R15" i="6"/>
  <c r="AS15" i="6" s="1"/>
  <c r="AN16" i="4"/>
  <c r="R46" i="6"/>
  <c r="AS46" i="6" s="1"/>
  <c r="AN47" i="4"/>
  <c r="R14" i="6"/>
  <c r="AS14" i="6" s="1"/>
  <c r="AN15" i="4"/>
  <c r="R51" i="6"/>
  <c r="AS51" i="6" s="1"/>
  <c r="AN52" i="4"/>
  <c r="R63" i="6"/>
  <c r="AS63" i="6" s="1"/>
  <c r="AN64" i="4"/>
  <c r="R35" i="6"/>
  <c r="AS35" i="6" s="1"/>
  <c r="AN36" i="4"/>
  <c r="P43" i="6"/>
  <c r="AQ43" i="6" s="1"/>
  <c r="AL44" i="4"/>
  <c r="P33" i="6"/>
  <c r="AQ33" i="6" s="1"/>
  <c r="AL34" i="4"/>
  <c r="P53" i="6"/>
  <c r="AQ53" i="6" s="1"/>
  <c r="AL54" i="4"/>
  <c r="P45" i="6"/>
  <c r="AQ45" i="6" s="1"/>
  <c r="AL46" i="4"/>
  <c r="P11" i="6"/>
  <c r="AQ11" i="6" s="1"/>
  <c r="AL12" i="4"/>
  <c r="P59" i="6"/>
  <c r="AQ59" i="6" s="1"/>
  <c r="AL60" i="4"/>
  <c r="P13" i="6"/>
  <c r="AQ13" i="6" s="1"/>
  <c r="AL14" i="4"/>
  <c r="P27" i="6"/>
  <c r="AQ27" i="6" s="1"/>
  <c r="AL28" i="4"/>
  <c r="Q13" i="6"/>
  <c r="AR13" i="6" s="1"/>
  <c r="AM14" i="4"/>
  <c r="N50" i="6"/>
  <c r="AO50" i="6" s="1"/>
  <c r="AJ51" i="4"/>
  <c r="O11" i="6"/>
  <c r="AP11" i="6" s="1"/>
  <c r="AK12" i="4"/>
  <c r="O55" i="6"/>
  <c r="AP55" i="6" s="1"/>
  <c r="AK56" i="4"/>
  <c r="O43" i="6"/>
  <c r="AP43" i="6" s="1"/>
  <c r="AK44" i="4"/>
  <c r="O18" i="6"/>
  <c r="AP18" i="6" s="1"/>
  <c r="AK19" i="4"/>
  <c r="O37" i="6"/>
  <c r="AP37" i="6" s="1"/>
  <c r="AK38" i="4"/>
  <c r="O6" i="6"/>
  <c r="AP6" i="6" s="1"/>
  <c r="AK7" i="4"/>
  <c r="O61" i="6"/>
  <c r="AP61" i="6" s="1"/>
  <c r="AK62" i="4"/>
  <c r="O38" i="6"/>
  <c r="AP38" i="6" s="1"/>
  <c r="AK39" i="4"/>
  <c r="L31" i="6"/>
  <c r="AM31" i="6" s="1"/>
  <c r="AH32" i="4"/>
  <c r="L40" i="6"/>
  <c r="AM40" i="6" s="1"/>
  <c r="AH41" i="4"/>
  <c r="L33" i="6"/>
  <c r="AM33" i="6" s="1"/>
  <c r="AH34" i="4"/>
  <c r="L39" i="6"/>
  <c r="AM39" i="6" s="1"/>
  <c r="AH40" i="4"/>
  <c r="L5" i="6"/>
  <c r="AM5" i="6" s="1"/>
  <c r="AH6" i="4"/>
  <c r="L28" i="6"/>
  <c r="AM28" i="6" s="1"/>
  <c r="AH29" i="4"/>
  <c r="Q26" i="6"/>
  <c r="AR26" i="6" s="1"/>
  <c r="AM27" i="4"/>
  <c r="Q7" i="6"/>
  <c r="AR7" i="6" s="1"/>
  <c r="AM8" i="4"/>
  <c r="Q30" i="6"/>
  <c r="AR30" i="6" s="1"/>
  <c r="AM31" i="4"/>
  <c r="Q50" i="6"/>
  <c r="AR50" i="6" s="1"/>
  <c r="AM51" i="4"/>
  <c r="Q43" i="6"/>
  <c r="AR43" i="6" s="1"/>
  <c r="AM44" i="4"/>
  <c r="Q6" i="6"/>
  <c r="AR6" i="6" s="1"/>
  <c r="AM7" i="4"/>
  <c r="Q47" i="6"/>
  <c r="AR47" i="6" s="1"/>
  <c r="AM48" i="4"/>
  <c r="N48" i="6"/>
  <c r="AO48" i="6" s="1"/>
  <c r="AJ49" i="4"/>
  <c r="N47" i="6"/>
  <c r="AO47" i="6" s="1"/>
  <c r="AJ48" i="4"/>
  <c r="N27" i="6"/>
  <c r="AO27" i="6" s="1"/>
  <c r="AJ28" i="4"/>
  <c r="N23" i="6"/>
  <c r="AO23" i="6" s="1"/>
  <c r="AJ24" i="4"/>
  <c r="N55" i="6"/>
  <c r="AO55" i="6" s="1"/>
  <c r="AJ56" i="4"/>
  <c r="N28" i="6"/>
  <c r="AO28" i="6" s="1"/>
  <c r="AJ29" i="4"/>
  <c r="N52" i="6"/>
  <c r="AO52" i="6" s="1"/>
  <c r="AJ53" i="4"/>
  <c r="N62" i="6"/>
  <c r="AO62" i="6" s="1"/>
  <c r="AJ63" i="4"/>
  <c r="O41" i="6"/>
  <c r="AP41" i="6" s="1"/>
  <c r="AK42" i="4"/>
  <c r="O19" i="6"/>
  <c r="AP19" i="6" s="1"/>
  <c r="AK20" i="4"/>
  <c r="O44" i="6"/>
  <c r="AP44" i="6" s="1"/>
  <c r="AK45" i="4"/>
  <c r="O56" i="6"/>
  <c r="AP56" i="6" s="1"/>
  <c r="AK57" i="4"/>
  <c r="O40" i="6"/>
  <c r="AP40" i="6" s="1"/>
  <c r="AK41" i="4"/>
  <c r="O5" i="6"/>
  <c r="AP5" i="6" s="1"/>
  <c r="AK6" i="4"/>
  <c r="O32" i="6"/>
  <c r="AP32" i="6" s="1"/>
  <c r="AK33" i="4"/>
  <c r="O46" i="6"/>
  <c r="AP46" i="6" s="1"/>
  <c r="AK47" i="4"/>
  <c r="L38" i="6"/>
  <c r="AM38" i="6" s="1"/>
  <c r="AH39" i="4"/>
  <c r="L56" i="6"/>
  <c r="AM56" i="6" s="1"/>
  <c r="AH57" i="4"/>
  <c r="L63" i="6"/>
  <c r="AM63" i="6" s="1"/>
  <c r="AH64" i="4"/>
  <c r="L54" i="6"/>
  <c r="AM54" i="6" s="1"/>
  <c r="AH55" i="4"/>
  <c r="L19" i="6"/>
  <c r="AM19" i="6" s="1"/>
  <c r="AH20" i="4"/>
  <c r="L30" i="6"/>
  <c r="AM30" i="6" s="1"/>
  <c r="AH31" i="4"/>
  <c r="L4" i="6"/>
  <c r="AM4" i="6" s="1"/>
  <c r="AH5" i="4"/>
  <c r="L18" i="6"/>
  <c r="AM18" i="6" s="1"/>
  <c r="AH19" i="4"/>
  <c r="AD67" i="2"/>
  <c r="M60" i="6"/>
  <c r="AN60" i="6" s="1"/>
  <c r="AI61" i="4"/>
  <c r="M64" i="6"/>
  <c r="AN64" i="6" s="1"/>
  <c r="AI65" i="4"/>
  <c r="M56" i="6"/>
  <c r="AN56" i="6" s="1"/>
  <c r="AI57" i="4"/>
  <c r="M62" i="6"/>
  <c r="AN62" i="6" s="1"/>
  <c r="AI63" i="4"/>
  <c r="M53" i="6"/>
  <c r="AN53" i="6" s="1"/>
  <c r="AI54" i="4"/>
  <c r="M38" i="6"/>
  <c r="AN38" i="6" s="1"/>
  <c r="AI39" i="4"/>
  <c r="M9" i="6"/>
  <c r="AN9" i="6" s="1"/>
  <c r="AI10" i="4"/>
  <c r="R13" i="6"/>
  <c r="AS13" i="6" s="1"/>
  <c r="AN14" i="4"/>
  <c r="R38" i="6"/>
  <c r="AS38" i="6" s="1"/>
  <c r="AN39" i="4"/>
  <c r="R4" i="6"/>
  <c r="AS4" i="6" s="1"/>
  <c r="AN5" i="4"/>
  <c r="R41" i="6"/>
  <c r="AS41" i="6" s="1"/>
  <c r="AN42" i="4"/>
  <c r="R53" i="6"/>
  <c r="AS53" i="6" s="1"/>
  <c r="AN54" i="4"/>
  <c r="R36" i="6"/>
  <c r="AS36" i="6" s="1"/>
  <c r="AN37" i="4"/>
  <c r="R58" i="6"/>
  <c r="AS58" i="6" s="1"/>
  <c r="AN59" i="4"/>
  <c r="P32" i="6"/>
  <c r="AQ32" i="6" s="1"/>
  <c r="AL33" i="4"/>
  <c r="P58" i="6"/>
  <c r="AQ58" i="6" s="1"/>
  <c r="AL59" i="4"/>
  <c r="P10" i="6"/>
  <c r="AQ10" i="6" s="1"/>
  <c r="AL11" i="4"/>
  <c r="P61" i="6"/>
  <c r="AQ61" i="6" s="1"/>
  <c r="AL62" i="4"/>
  <c r="P38" i="6"/>
  <c r="AQ38" i="6" s="1"/>
  <c r="AL39" i="4"/>
  <c r="P15" i="6"/>
  <c r="AQ15" i="6" s="1"/>
  <c r="AL16" i="4"/>
  <c r="P55" i="6"/>
  <c r="AQ55" i="6" s="1"/>
  <c r="AL56" i="4"/>
  <c r="P54" i="6"/>
  <c r="AQ54" i="6" s="1"/>
  <c r="AL55" i="4"/>
  <c r="N14" i="6"/>
  <c r="AO14" i="6" s="1"/>
  <c r="AJ15" i="4"/>
  <c r="Q18" i="6"/>
  <c r="AR18" i="6" s="1"/>
  <c r="AM19" i="4"/>
  <c r="N35" i="6"/>
  <c r="AO35" i="6" s="1"/>
  <c r="AJ36" i="4"/>
  <c r="L53" i="6"/>
  <c r="AM53" i="6" s="1"/>
  <c r="AH54" i="4"/>
  <c r="Q8" i="6"/>
  <c r="AR8" i="6" s="1"/>
  <c r="AM9" i="4"/>
  <c r="Q46" i="6"/>
  <c r="AR46" i="6" s="1"/>
  <c r="AM47" i="4"/>
  <c r="Q40" i="6"/>
  <c r="AR40" i="6" s="1"/>
  <c r="AM41" i="4"/>
  <c r="Q29" i="6"/>
  <c r="AR29" i="6" s="1"/>
  <c r="AM30" i="4"/>
  <c r="Q22" i="6"/>
  <c r="AR22" i="6" s="1"/>
  <c r="AM23" i="4"/>
  <c r="Q38" i="6"/>
  <c r="AR38" i="6" s="1"/>
  <c r="AM39" i="4"/>
  <c r="Q14" i="6"/>
  <c r="AR14" i="6" s="1"/>
  <c r="AM15" i="4"/>
  <c r="N17" i="6"/>
  <c r="AO17" i="6" s="1"/>
  <c r="AJ18" i="4"/>
  <c r="N57" i="6"/>
  <c r="AO57" i="6" s="1"/>
  <c r="AJ58" i="4"/>
  <c r="N59" i="6"/>
  <c r="AO59" i="6" s="1"/>
  <c r="AJ60" i="4"/>
  <c r="N58" i="6"/>
  <c r="AO58" i="6" s="1"/>
  <c r="AJ59" i="4"/>
  <c r="N53" i="6"/>
  <c r="AO53" i="6" s="1"/>
  <c r="AJ54" i="4"/>
  <c r="N18" i="6"/>
  <c r="AO18" i="6" s="1"/>
  <c r="AJ19" i="4"/>
  <c r="N40" i="6"/>
  <c r="AO40" i="6" s="1"/>
  <c r="AJ41" i="4"/>
  <c r="N31" i="6"/>
  <c r="AO31" i="6" s="1"/>
  <c r="AJ32" i="4"/>
  <c r="O54" i="6"/>
  <c r="AP54" i="6" s="1"/>
  <c r="AK55" i="4"/>
  <c r="O30" i="6"/>
  <c r="AP30" i="6" s="1"/>
  <c r="AK31" i="4"/>
  <c r="O36" i="6"/>
  <c r="AP36" i="6" s="1"/>
  <c r="AK37" i="4"/>
  <c r="O16" i="6"/>
  <c r="AP16" i="6" s="1"/>
  <c r="AK17" i="4"/>
  <c r="O9" i="6"/>
  <c r="AP9" i="6" s="1"/>
  <c r="AK10" i="4"/>
  <c r="O48" i="6"/>
  <c r="AP48" i="6" s="1"/>
  <c r="AK49" i="4"/>
  <c r="O26" i="6"/>
  <c r="AP26" i="6" s="1"/>
  <c r="AK27" i="4"/>
  <c r="O27" i="6"/>
  <c r="AP27" i="6" s="1"/>
  <c r="AK28" i="4"/>
  <c r="L17" i="6"/>
  <c r="AM17" i="6" s="1"/>
  <c r="AH18" i="4"/>
  <c r="L35" i="6"/>
  <c r="AM35" i="6" s="1"/>
  <c r="AH36" i="4"/>
  <c r="L64" i="6"/>
  <c r="AM64" i="6" s="1"/>
  <c r="AH65" i="4"/>
  <c r="L27" i="6"/>
  <c r="AM27" i="6" s="1"/>
  <c r="AH28" i="4"/>
  <c r="L48" i="6"/>
  <c r="AM48" i="6" s="1"/>
  <c r="AH49" i="4"/>
  <c r="L21" i="6"/>
  <c r="AM21" i="6" s="1"/>
  <c r="AH22" i="4"/>
  <c r="L24" i="6"/>
  <c r="AM24" i="6" s="1"/>
  <c r="AH25" i="4"/>
  <c r="L7" i="6"/>
  <c r="AM7" i="6" s="1"/>
  <c r="AH8" i="4"/>
  <c r="M44" i="6"/>
  <c r="AN44" i="6" s="1"/>
  <c r="AI45" i="4"/>
  <c r="M10" i="6"/>
  <c r="AN10" i="6" s="1"/>
  <c r="AI11" i="4"/>
  <c r="M61" i="6"/>
  <c r="AN61" i="6" s="1"/>
  <c r="AI62" i="4"/>
  <c r="M29" i="6"/>
  <c r="AN29" i="6" s="1"/>
  <c r="AI30" i="4"/>
  <c r="M11" i="6"/>
  <c r="AN11" i="6" s="1"/>
  <c r="AI12" i="4"/>
  <c r="M20" i="6"/>
  <c r="AN20" i="6" s="1"/>
  <c r="AI21" i="4"/>
  <c r="M36" i="6"/>
  <c r="AN36" i="6" s="1"/>
  <c r="AI37" i="4"/>
  <c r="R20" i="6"/>
  <c r="AS20" i="6" s="1"/>
  <c r="AN21" i="4"/>
  <c r="R32" i="6"/>
  <c r="AS32" i="6" s="1"/>
  <c r="AN33" i="4"/>
  <c r="R19" i="6"/>
  <c r="AS19" i="6" s="1"/>
  <c r="AN20" i="4"/>
  <c r="R30" i="6"/>
  <c r="AS30" i="6" s="1"/>
  <c r="AN31" i="4"/>
  <c r="R47" i="6"/>
  <c r="AS47" i="6" s="1"/>
  <c r="AN48" i="4"/>
  <c r="R60" i="6"/>
  <c r="AS60" i="6" s="1"/>
  <c r="AN61" i="4"/>
  <c r="R5" i="6"/>
  <c r="AS5" i="6" s="1"/>
  <c r="AN6" i="4"/>
  <c r="R59" i="6"/>
  <c r="AS59" i="6" s="1"/>
  <c r="AN60" i="4"/>
  <c r="P62" i="6"/>
  <c r="AQ62" i="6" s="1"/>
  <c r="AL63" i="4"/>
  <c r="P57" i="6"/>
  <c r="AQ57" i="6" s="1"/>
  <c r="AL58" i="4"/>
  <c r="P21" i="6"/>
  <c r="AQ21" i="6" s="1"/>
  <c r="AL22" i="4"/>
  <c r="P48" i="6"/>
  <c r="AQ48" i="6" s="1"/>
  <c r="AL49" i="4"/>
  <c r="P6" i="6"/>
  <c r="AQ6" i="6" s="1"/>
  <c r="AL7" i="4"/>
  <c r="P47" i="6"/>
  <c r="AQ47" i="6" s="1"/>
  <c r="AL48" i="4"/>
  <c r="P36" i="6"/>
  <c r="AQ36" i="6" s="1"/>
  <c r="AL37" i="4"/>
  <c r="P17" i="6"/>
  <c r="AQ17" i="6" s="1"/>
  <c r="AL18" i="4"/>
  <c r="Q24" i="6"/>
  <c r="AR24" i="6" s="1"/>
  <c r="AM25" i="4"/>
  <c r="Q62" i="6"/>
  <c r="AR62" i="6" s="1"/>
  <c r="AM63" i="4"/>
  <c r="Q5" i="6"/>
  <c r="AR5" i="6" s="1"/>
  <c r="AM6" i="4"/>
  <c r="Q33" i="6"/>
  <c r="AR33" i="6" s="1"/>
  <c r="AM34" i="4"/>
  <c r="Q41" i="6"/>
  <c r="AR41" i="6" s="1"/>
  <c r="AM42" i="4"/>
  <c r="Q16" i="6"/>
  <c r="AR16" i="6" s="1"/>
  <c r="AM17" i="4"/>
  <c r="N15" i="6"/>
  <c r="AO15" i="6" s="1"/>
  <c r="AJ16" i="4"/>
  <c r="N60" i="6"/>
  <c r="AO60" i="6" s="1"/>
  <c r="AJ61" i="4"/>
  <c r="N29" i="6"/>
  <c r="AO29" i="6" s="1"/>
  <c r="AJ30" i="4"/>
  <c r="N13" i="6"/>
  <c r="AO13" i="6" s="1"/>
  <c r="AJ14" i="4"/>
  <c r="N24" i="6"/>
  <c r="AO24" i="6" s="1"/>
  <c r="AJ25" i="4"/>
  <c r="N38" i="6"/>
  <c r="AO38" i="6" s="1"/>
  <c r="AJ39" i="4"/>
  <c r="L44" i="6"/>
  <c r="AM44" i="6" s="1"/>
  <c r="AH45" i="4"/>
  <c r="Q55" i="6"/>
  <c r="AR55" i="6" s="1"/>
  <c r="AM56" i="4"/>
  <c r="Q31" i="6"/>
  <c r="AR31" i="6" s="1"/>
  <c r="AM32" i="4"/>
  <c r="Q44" i="6"/>
  <c r="AR44" i="6" s="1"/>
  <c r="AM45" i="4"/>
  <c r="Q17" i="6"/>
  <c r="AR17" i="6" s="1"/>
  <c r="AM18" i="4"/>
  <c r="Q54" i="6"/>
  <c r="AR54" i="6" s="1"/>
  <c r="AM55" i="4"/>
  <c r="Q59" i="6"/>
  <c r="AR59" i="6" s="1"/>
  <c r="AM60" i="4"/>
  <c r="Q4" i="6"/>
  <c r="AR4" i="6" s="1"/>
  <c r="AM5" i="4"/>
  <c r="N9" i="6"/>
  <c r="AO9" i="6" s="1"/>
  <c r="AJ10" i="4"/>
  <c r="N44" i="6"/>
  <c r="AO44" i="6" s="1"/>
  <c r="AJ45" i="4"/>
  <c r="N22" i="6"/>
  <c r="AO22" i="6" s="1"/>
  <c r="AJ23" i="4"/>
  <c r="N12" i="6"/>
  <c r="AO12" i="6" s="1"/>
  <c r="AJ13" i="4"/>
  <c r="N6" i="6"/>
  <c r="AO6" i="6" s="1"/>
  <c r="AJ7" i="4"/>
  <c r="N37" i="6"/>
  <c r="AO37" i="6" s="1"/>
  <c r="AJ38" i="4"/>
  <c r="N8" i="6"/>
  <c r="AO8" i="6" s="1"/>
  <c r="AJ9" i="4"/>
  <c r="N11" i="6"/>
  <c r="AO11" i="6" s="1"/>
  <c r="AJ12" i="4"/>
  <c r="O15" i="6"/>
  <c r="AP15" i="6" s="1"/>
  <c r="AK16" i="4"/>
  <c r="O10" i="6"/>
  <c r="AP10" i="6" s="1"/>
  <c r="AK11" i="4"/>
  <c r="O33" i="6"/>
  <c r="AP33" i="6" s="1"/>
  <c r="AK34" i="4"/>
  <c r="O13" i="6"/>
  <c r="AP13" i="6" s="1"/>
  <c r="AK14" i="4"/>
  <c r="O7" i="6"/>
  <c r="AP7" i="6" s="1"/>
  <c r="AK8" i="4"/>
  <c r="O21" i="6"/>
  <c r="AP21" i="6" s="1"/>
  <c r="AK22" i="4"/>
  <c r="O57" i="6"/>
  <c r="AP57" i="6" s="1"/>
  <c r="AK58" i="4"/>
  <c r="O51" i="6"/>
  <c r="AP51" i="6" s="1"/>
  <c r="AK52" i="4"/>
  <c r="L47" i="6"/>
  <c r="AM47" i="6" s="1"/>
  <c r="AH48" i="4"/>
  <c r="L60" i="6"/>
  <c r="AM60" i="6" s="1"/>
  <c r="AH61" i="4"/>
  <c r="L10" i="6"/>
  <c r="AM10" i="6" s="1"/>
  <c r="AH11" i="4"/>
  <c r="L32" i="6"/>
  <c r="AM32" i="6" s="1"/>
  <c r="AH33" i="4"/>
  <c r="L51" i="6"/>
  <c r="AM51" i="6" s="1"/>
  <c r="AH52" i="4"/>
  <c r="L34" i="6"/>
  <c r="AM34" i="6" s="1"/>
  <c r="AH35" i="4"/>
  <c r="L59" i="6"/>
  <c r="AM59" i="6" s="1"/>
  <c r="AH60" i="4"/>
  <c r="M63" i="6"/>
  <c r="AN63" i="6" s="1"/>
  <c r="AI64" i="4"/>
  <c r="M33" i="6"/>
  <c r="AN33" i="6" s="1"/>
  <c r="AI34" i="4"/>
  <c r="M51" i="6"/>
  <c r="AN51" i="6" s="1"/>
  <c r="AI52" i="4"/>
  <c r="M25" i="6"/>
  <c r="AN25" i="6" s="1"/>
  <c r="AI26" i="4"/>
  <c r="M14" i="6"/>
  <c r="AN14" i="6" s="1"/>
  <c r="AI15" i="4"/>
  <c r="M55" i="6"/>
  <c r="AN55" i="6" s="1"/>
  <c r="AI56" i="4"/>
  <c r="M32" i="6"/>
  <c r="AN32" i="6" s="1"/>
  <c r="AI33" i="4"/>
  <c r="R57" i="6"/>
  <c r="AS57" i="6" s="1"/>
  <c r="AN58" i="4"/>
  <c r="R56" i="6"/>
  <c r="AS56" i="6" s="1"/>
  <c r="AN57" i="4"/>
  <c r="R11" i="6"/>
  <c r="AS11" i="6" s="1"/>
  <c r="AN12" i="4"/>
  <c r="R18" i="6"/>
  <c r="AS18" i="6" s="1"/>
  <c r="AN19" i="4"/>
  <c r="R45" i="6"/>
  <c r="AS45" i="6" s="1"/>
  <c r="AN46" i="4"/>
  <c r="R44" i="6"/>
  <c r="AS44" i="6" s="1"/>
  <c r="AN45" i="4"/>
  <c r="R48" i="6"/>
  <c r="AS48" i="6" s="1"/>
  <c r="AN49" i="4"/>
  <c r="R17" i="6"/>
  <c r="AS17" i="6" s="1"/>
  <c r="AN18" i="4"/>
  <c r="P18" i="6"/>
  <c r="AQ18" i="6" s="1"/>
  <c r="AL19" i="4"/>
  <c r="P44" i="6"/>
  <c r="AQ44" i="6" s="1"/>
  <c r="AL45" i="4"/>
  <c r="P29" i="6"/>
  <c r="AQ29" i="6" s="1"/>
  <c r="AL30" i="4"/>
  <c r="P63" i="6"/>
  <c r="AQ63" i="6" s="1"/>
  <c r="AL64" i="4"/>
  <c r="P12" i="6"/>
  <c r="AQ12" i="6" s="1"/>
  <c r="AL13" i="4"/>
  <c r="P31" i="6"/>
  <c r="AQ31" i="6" s="1"/>
  <c r="AL32" i="4"/>
  <c r="P41" i="6"/>
  <c r="AQ41" i="6" s="1"/>
  <c r="AL42" i="4"/>
  <c r="P4" i="6"/>
  <c r="AQ4" i="6" s="1"/>
  <c r="AL5" i="4"/>
  <c r="AM65" i="6" l="1"/>
  <c r="AS65" i="6"/>
  <c r="AQ65" i="6"/>
  <c r="AO65" i="6"/>
  <c r="AN65" i="6"/>
  <c r="AM66" i="6"/>
  <c r="AM67" i="6" s="1"/>
  <c r="AR65" i="6"/>
  <c r="AP65" i="6"/>
  <c r="AT65" i="6" l="1"/>
  <c r="AM68" i="6" s="1"/>
  <c r="AR66" i="6"/>
  <c r="AR67" i="6" s="1"/>
  <c r="AN66" i="6"/>
  <c r="AN67" i="6" s="1"/>
  <c r="AO66" i="6"/>
  <c r="AO67" i="6" s="1"/>
  <c r="AQ66" i="6"/>
  <c r="AQ67" i="6" s="1"/>
  <c r="AQ68" i="6"/>
  <c r="AP66" i="6"/>
  <c r="AP67" i="6" s="1"/>
  <c r="AS66" i="6"/>
  <c r="AS67" i="6" s="1"/>
  <c r="AS68" i="6" l="1"/>
  <c r="AN68" i="6"/>
  <c r="AP68" i="6"/>
  <c r="AR68" i="6"/>
  <c r="AO68" i="6"/>
</calcChain>
</file>

<file path=xl/sharedStrings.xml><?xml version="1.0" encoding="utf-8"?>
<sst xmlns="http://schemas.openxmlformats.org/spreadsheetml/2006/main" count="571" uniqueCount="47">
  <si>
    <t>Day</t>
  </si>
  <si>
    <t>Date</t>
  </si>
  <si>
    <t>SAT</t>
  </si>
  <si>
    <t>SUN</t>
  </si>
  <si>
    <t>MON</t>
  </si>
  <si>
    <t>TUE</t>
  </si>
  <si>
    <t>WED</t>
  </si>
  <si>
    <t>THU</t>
  </si>
  <si>
    <t>FRI</t>
  </si>
  <si>
    <t>Forecast</t>
  </si>
  <si>
    <t>INTERVAL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</si>
  <si>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</si>
  <si>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</si>
  <si>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</si>
  <si>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</si>
  <si>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</si>
  <si>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</si>
  <si>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</si>
  <si>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</si>
  <si>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Dow profile</t>
  </si>
  <si>
    <t>Distribution%</t>
  </si>
  <si>
    <t>Row Labels</t>
  </si>
  <si>
    <t>Grand Total</t>
  </si>
  <si>
    <t>Sum of Forecast</t>
  </si>
  <si>
    <t>-</t>
  </si>
  <si>
    <t>AHT</t>
  </si>
  <si>
    <t>Average of AHT</t>
  </si>
  <si>
    <t>Forecast AHT</t>
  </si>
  <si>
    <t>Shrinkage</t>
  </si>
  <si>
    <t>Shrinkage%</t>
  </si>
  <si>
    <t>Volume</t>
  </si>
  <si>
    <t>Occupancy%</t>
  </si>
  <si>
    <t>Requirements</t>
  </si>
  <si>
    <t>Total Hours</t>
  </si>
  <si>
    <t>Required Agents + Shrink</t>
  </si>
  <si>
    <t>Required Agents</t>
  </si>
  <si>
    <t>CALL ARRIVAL PATTERN%</t>
  </si>
  <si>
    <t>BREAKDOWN FORECAST BASED ON CALL ARRIVAL PATTERN</t>
  </si>
  <si>
    <t>AHT PATTERN - AVERAGE PER INTERVAL (PAST DATA)</t>
  </si>
  <si>
    <t>CALL ARRIVAL PATTERN - AVERAGE CALL PER INTERVALS (PAST DATA)</t>
  </si>
  <si>
    <t>AHT BEHAVIOR PER INTERVAL</t>
  </si>
  <si>
    <t xml:space="preserve">BREAKDOWN FORECAST BASED ON AHT BEHAVIOR </t>
  </si>
  <si>
    <t>DEFAULT SHRINKAGE (WE MUST USE THE BETTER BASED ON OUR CAMPAING, NEED AN ANALYSIS)</t>
  </si>
  <si>
    <t>Average of Shrinkage%</t>
  </si>
  <si>
    <t>We use this conditional to show where the activity is concentrated.</t>
  </si>
  <si>
    <t>Activity = Workload so to speak</t>
  </si>
  <si>
    <t>BREAKDOWN FORECAST BASED ON BEHAVIOR - DIFFERENT CONDITIONAL (COMPARISON BEETWEN THE SAME INTERVAL ALONG THE WEEK) TO IDENTIFY DAYS WITH HIGHTEST AHT AT SPECIFIC 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</si>
</sst>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443865</xdr:colOff>
      <xdr:row>68</xdr:row>
      <xdr:rowOff>173355</xdr:rowOff>
    </xdr:from>
    <xdr:to>
      <xdr:col>2</xdr:col>
      <xdr:colOff>21017</xdr:colOff>
      <xdr:row>71</xdr:row>
      <xdr:rowOff>36252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E5AAA-60B5-691A-7465-42D47E776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5" y="12479655"/>
          <a:ext cx="453452" cy="40582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FM" refreshedDate="45979.431584143516" createdVersion="8" refreshedVersion="8" minRefreshableVersion="3" recordCount="394" xr:uid="{AA786142-BD16-44BA-9A0A-2DF0576B4827}">
  <cacheSource type="worksheet">
    <worksheetSource ref="A1:C1048576" sheet="FORECAST"/>
  </cacheSource>
  <cacheFields count="6">
    <cacheField name="Day" numFmtId="0">
      <sharedItems containsBlank="1"/>
    </cacheField>
    <cacheField name="Date" numFmtId="14">
      <sharedItems containsNonDate="0" containsDate="1" containsString="0" containsBlank="1" minDate="2025-02-01T00:00:00" maxDate="2026-03-01T00:00:00" count="394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m/>
      </sharedItems>
      <fieldGroup par="5"/>
    </cacheField>
    <cacheField name="Forecast" numFmtId="2">
      <sharedItems containsString="0" containsBlank="1" containsNumber="1" minValue="0" maxValue="1989"/>
    </cacheField>
    <cacheField name="Months (Date)" numFmtId="0" databaseField="0">
      <fieldGroup base="1">
        <rangePr groupBy="months" startDate="2025-02-01T00:00:00" endDate="2026-03-01T00:00:00"/>
        <groupItems count="14">
          <s v="&lt;2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/2026"/>
        </groupItems>
      </fieldGroup>
    </cacheField>
    <cacheField name="Quarters (Date)" numFmtId="0" databaseField="0">
      <fieldGroup base="1">
        <rangePr groupBy="quarters" startDate="2025-02-01T00:00:00" endDate="2026-03-01T00:00:00"/>
        <groupItems count="6">
          <s v="&lt;2/1/2025"/>
          <s v="Qtr1"/>
          <s v="Qtr2"/>
          <s v="Qtr3"/>
          <s v="Qtr4"/>
          <s v="&gt;3/1/2026"/>
        </groupItems>
      </fieldGroup>
    </cacheField>
    <cacheField name="Years (Date)" numFmtId="0" databaseField="0">
      <fieldGroup base="1">
        <rangePr groupBy="years" startDate="2025-02-01T00:00:00" endDate="2026-03-01T00:00:00"/>
        <groupItems count="4">
          <s v="&lt;2/1/2025"/>
          <s v="2025"/>
          <s v="2026"/>
          <s v="&gt;3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FM" refreshedDate="45983.405911458336" createdVersion="8" refreshedVersion="8" minRefreshableVersion="3" recordCount="394" xr:uid="{5DB5FD0A-EC81-4CF4-956B-0608A133473E}">
  <cacheSource type="worksheet">
    <worksheetSource ref="A1:D1048576" sheet="FORECAST"/>
  </cacheSource>
  <cacheFields count="7">
    <cacheField name="Day" numFmtId="0">
      <sharedItems containsBlank="1"/>
    </cacheField>
    <cacheField name="Date" numFmtId="14">
      <sharedItems containsNonDate="0" containsDate="1" containsString="0" containsBlank="1" minDate="2025-02-01T00:00:00" maxDate="2026-03-01T00:00:00" count="394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m/>
      </sharedItems>
      <fieldGroup par="6"/>
    </cacheField>
    <cacheField name="Forecast" numFmtId="2">
      <sharedItems containsString="0" containsBlank="1" containsNumber="1" minValue="0" maxValue="1989"/>
    </cacheField>
    <cacheField name="AHT" numFmtId="0">
      <sharedItems containsBlank="1" containsMixedTypes="1" containsNumber="1" minValue="0" maxValue="1216.2405578152236"/>
    </cacheField>
    <cacheField name="Months (Date)" numFmtId="0" databaseField="0">
      <fieldGroup base="1">
        <rangePr groupBy="months" startDate="2025-02-01T00:00:00" endDate="2026-03-01T00:00:00"/>
        <groupItems count="14">
          <s v="&lt;2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/2026"/>
        </groupItems>
      </fieldGroup>
    </cacheField>
    <cacheField name="Quarters (Date)" numFmtId="0" databaseField="0">
      <fieldGroup base="1">
        <rangePr groupBy="quarters" startDate="2025-02-01T00:00:00" endDate="2026-03-01T00:00:00"/>
        <groupItems count="6">
          <s v="&lt;2/1/2025"/>
          <s v="Qtr1"/>
          <s v="Qtr2"/>
          <s v="Qtr3"/>
          <s v="Qtr4"/>
          <s v="&gt;3/1/2026"/>
        </groupItems>
      </fieldGroup>
    </cacheField>
    <cacheField name="Years (Date)" numFmtId="0" databaseField="0">
      <fieldGroup base="1">
        <rangePr groupBy="years" startDate="2025-02-01T00:00:00" endDate="2026-03-01T00:00:00"/>
        <groupItems count="4">
          <s v="&lt;2/1/2025"/>
          <s v="2025"/>
          <s v="2026"/>
          <s v="&gt;3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FM" refreshedDate="45984.467111921294" createdVersion="8" refreshedVersion="8" minRefreshableVersion="3" recordCount="394" xr:uid="{9014C5AC-AAFF-4795-8BB6-BDC1740AAA34}">
  <cacheSource type="worksheet">
    <worksheetSource ref="A1:F1048576" sheet="FORECAST"/>
  </cacheSource>
  <cacheFields count="9">
    <cacheField name="Day" numFmtId="0">
      <sharedItems containsBlank="1"/>
    </cacheField>
    <cacheField name="Date" numFmtId="14">
      <sharedItems containsNonDate="0" containsDate="1" containsString="0" containsBlank="1" minDate="2025-02-01T00:00:00" maxDate="2026-03-01T00:00:00" count="394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m/>
      </sharedItems>
      <fieldGroup par="8"/>
    </cacheField>
    <cacheField name="Forecast" numFmtId="2">
      <sharedItems containsString="0" containsBlank="1" containsNumber="1" minValue="0" maxValue="1989"/>
    </cacheField>
    <cacheField name="AHT" numFmtId="0">
      <sharedItems containsBlank="1" containsMixedTypes="1" containsNumber="1" minValue="0" maxValue="1216.2405578152236"/>
    </cacheField>
    <cacheField name="Shrinkage%" numFmtId="0">
      <sharedItems containsString="0" containsBlank="1" containsNumber="1" minValue="0.15" maxValue="0.15"/>
    </cacheField>
    <cacheField name="Occupancy%" numFmtId="0">
      <sharedItems containsString="0" containsBlank="1" containsNumber="1" minValue="0.75" maxValue="0.75"/>
    </cacheField>
    <cacheField name="Months (Date)" numFmtId="0" databaseField="0">
      <fieldGroup base="1">
        <rangePr groupBy="months" startDate="2025-02-01T00:00:00" endDate="2026-03-01T00:00:00"/>
        <groupItems count="14">
          <s v="&lt;2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/2026"/>
        </groupItems>
      </fieldGroup>
    </cacheField>
    <cacheField name="Quarters (Date)" numFmtId="0" databaseField="0">
      <fieldGroup base="1">
        <rangePr groupBy="quarters" startDate="2025-02-01T00:00:00" endDate="2026-03-01T00:00:00"/>
        <groupItems count="6">
          <s v="&lt;2/1/2025"/>
          <s v="Qtr1"/>
          <s v="Qtr2"/>
          <s v="Qtr3"/>
          <s v="Qtr4"/>
          <s v="&gt;3/1/2026"/>
        </groupItems>
      </fieldGroup>
    </cacheField>
    <cacheField name="Years (Date)" numFmtId="0" databaseField="0">
      <fieldGroup base="1">
        <rangePr groupBy="years" startDate="2025-02-01T00:00:00" endDate="2026-03-01T00:00:00"/>
        <groupItems count="4">
          <s v="&lt;2/1/2025"/>
          <s v="2025"/>
          <s v="2026"/>
          <s v="&gt;3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s v="SAT"/>
    <x v="0"/>
    <n v="529.69188859820758"/>
  </r>
  <r>
    <s v="SUN"/>
    <x v="1"/>
    <n v="338.66062866938603"/>
  </r>
  <r>
    <s v="MON"/>
    <x v="2"/>
    <n v="875.60854851685963"/>
  </r>
  <r>
    <s v="TUE"/>
    <x v="3"/>
    <n v="854.50258200849782"/>
  </r>
  <r>
    <s v="WED"/>
    <x v="4"/>
    <n v="779.82701108732772"/>
  </r>
  <r>
    <s v="THU"/>
    <x v="5"/>
    <n v="714.38927097805845"/>
  </r>
  <r>
    <s v="FRI"/>
    <x v="6"/>
    <n v="690.98297242592025"/>
  </r>
  <r>
    <s v="SAT"/>
    <x v="7"/>
    <n v="498.97790808657572"/>
  </r>
  <r>
    <s v="SUN"/>
    <x v="8"/>
    <n v="313.94400000000002"/>
  </r>
  <r>
    <s v="MON"/>
    <x v="9"/>
    <n v="805.75400000000002"/>
  </r>
  <r>
    <s v="TUE"/>
    <x v="10"/>
    <n v="831.7733053412785"/>
  </r>
  <r>
    <s v="WED"/>
    <x v="11"/>
    <n v="790.20951413470834"/>
  </r>
  <r>
    <s v="THU"/>
    <x v="12"/>
    <n v="743.37089263997632"/>
  </r>
  <r>
    <s v="FRI"/>
    <x v="13"/>
    <n v="795.10941650556981"/>
  </r>
  <r>
    <s v="SAT"/>
    <x v="14"/>
    <n v="532.7528514928033"/>
  </r>
  <r>
    <s v="SUN"/>
    <x v="15"/>
    <n v="331.35544504877822"/>
  </r>
  <r>
    <s v="MON"/>
    <x v="16"/>
    <n v="857.85400000000004"/>
  </r>
  <r>
    <s v="TUE"/>
    <x v="17"/>
    <n v="822.31233632522833"/>
  </r>
  <r>
    <s v="WED"/>
    <x v="18"/>
    <n v="865.20049067484695"/>
  </r>
  <r>
    <s v="THU"/>
    <x v="19"/>
    <n v="871.34719999999993"/>
  </r>
  <r>
    <s v="FRI"/>
    <x v="20"/>
    <n v="717.96080201704694"/>
  </r>
  <r>
    <s v="SAT"/>
    <x v="21"/>
    <n v="535.16505118760051"/>
  </r>
  <r>
    <s v="SUN"/>
    <x v="22"/>
    <n v="351.17323948724652"/>
  </r>
  <r>
    <s v="MON"/>
    <x v="23"/>
    <n v="875.01599999999985"/>
  </r>
  <r>
    <s v="TUE"/>
    <x v="24"/>
    <n v="888.18990000000008"/>
  </r>
  <r>
    <s v="WED"/>
    <x v="25"/>
    <n v="867.20131588451272"/>
  </r>
  <r>
    <s v="THU"/>
    <x v="26"/>
    <n v="891.71440000000007"/>
  </r>
  <r>
    <s v="FRI"/>
    <x v="27"/>
    <n v="852.72665148597548"/>
  </r>
  <r>
    <s v="SAT"/>
    <x v="28"/>
    <n v="705.60919549227367"/>
  </r>
  <r>
    <s v="SUN"/>
    <x v="29"/>
    <n v="483.70812383089128"/>
  </r>
  <r>
    <s v="MON"/>
    <x v="30"/>
    <n v="1048.7392030030942"/>
  </r>
  <r>
    <s v="TUE"/>
    <x v="31"/>
    <n v="1091.5780768351988"/>
  </r>
  <r>
    <s v="WED"/>
    <x v="32"/>
    <n v="951.30939111323505"/>
  </r>
  <r>
    <s v="THU"/>
    <x v="33"/>
    <n v="886.11970572373798"/>
  </r>
  <r>
    <s v="FRI"/>
    <x v="34"/>
    <n v="863.99273472197274"/>
  </r>
  <r>
    <s v="SAT"/>
    <x v="35"/>
    <n v="601.63654460520183"/>
  </r>
  <r>
    <s v="SUN"/>
    <x v="36"/>
    <n v="376.2296500893404"/>
  </r>
  <r>
    <s v="MON"/>
    <x v="37"/>
    <n v="978.42578431533821"/>
  </r>
  <r>
    <s v="TUE"/>
    <x v="38"/>
    <n v="1093.0832144721944"/>
  </r>
  <r>
    <s v="WED"/>
    <x v="39"/>
    <n v="1012.0738502099412"/>
  </r>
  <r>
    <s v="THU"/>
    <x v="40"/>
    <n v="872.25768766018814"/>
  </r>
  <r>
    <s v="FRI"/>
    <x v="41"/>
    <n v="867.6132540651912"/>
  </r>
  <r>
    <s v="SAT"/>
    <x v="42"/>
    <n v="579.76911491119563"/>
  </r>
  <r>
    <s v="SUN"/>
    <x v="43"/>
    <n v="395.62843511470595"/>
  </r>
  <r>
    <s v="MON"/>
    <x v="44"/>
    <n v="925.33124894920934"/>
  </r>
  <r>
    <s v="TUE"/>
    <x v="45"/>
    <n v="941.50216485338683"/>
  </r>
  <r>
    <s v="WED"/>
    <x v="46"/>
    <n v="868.14223493153258"/>
  </r>
  <r>
    <s v="THU"/>
    <x v="47"/>
    <n v="866.79314134206209"/>
  </r>
  <r>
    <s v="FRI"/>
    <x v="48"/>
    <n v="791.810150478271"/>
  </r>
  <r>
    <s v="SAT"/>
    <x v="49"/>
    <n v="565.33465669052214"/>
  </r>
  <r>
    <s v="SUN"/>
    <x v="50"/>
    <n v="364.90917943467537"/>
  </r>
  <r>
    <s v="MON"/>
    <x v="51"/>
    <n v="855.11876407747559"/>
  </r>
  <r>
    <s v="TUE"/>
    <x v="52"/>
    <n v="853.11470162442379"/>
  </r>
  <r>
    <s v="WED"/>
    <x v="53"/>
    <n v="844.93648624135847"/>
  </r>
  <r>
    <s v="THU"/>
    <x v="54"/>
    <n v="771.01386009551561"/>
  </r>
  <r>
    <s v="FRI"/>
    <x v="55"/>
    <n v="746.46182384771771"/>
  </r>
  <r>
    <s v="SAT"/>
    <x v="56"/>
    <n v="546.36266652681513"/>
  </r>
  <r>
    <s v="SUN"/>
    <x v="57"/>
    <n v="379.24699999999996"/>
  </r>
  <r>
    <s v="MON"/>
    <x v="58"/>
    <n v="869.770977218393"/>
  </r>
  <r>
    <s v="TUE"/>
    <x v="59"/>
    <n v="1111.08"/>
  </r>
  <r>
    <s v="WED"/>
    <x v="60"/>
    <n v="1045.1659999999999"/>
  </r>
  <r>
    <s v="THU"/>
    <x v="61"/>
    <n v="1039.8959381169693"/>
  </r>
  <r>
    <s v="FRI"/>
    <x v="62"/>
    <n v="975.11310801889056"/>
  </r>
  <r>
    <s v="SAT"/>
    <x v="63"/>
    <n v="671.73347684564851"/>
  </r>
  <r>
    <s v="SUN"/>
    <x v="64"/>
    <n v="439.8664"/>
  </r>
  <r>
    <s v="MON"/>
    <x v="65"/>
    <n v="1135.7067034987217"/>
  </r>
  <r>
    <s v="TUE"/>
    <x v="66"/>
    <n v="1084.7076705829045"/>
  </r>
  <r>
    <s v="WED"/>
    <x v="67"/>
    <n v="1039.7171541411788"/>
  </r>
  <r>
    <s v="THU"/>
    <x v="68"/>
    <n v="980.48300809140039"/>
  </r>
  <r>
    <s v="FRI"/>
    <x v="69"/>
    <n v="970.45999999999992"/>
  </r>
  <r>
    <s v="SAT"/>
    <x v="70"/>
    <n v="702.56519226393698"/>
  </r>
  <r>
    <s v="SUN"/>
    <x v="71"/>
    <n v="426.37614396219698"/>
  </r>
  <r>
    <s v="MON"/>
    <x v="72"/>
    <n v="1103.3085300228993"/>
  </r>
  <r>
    <s v="TUE"/>
    <x v="73"/>
    <n v="1097.758454702162"/>
  </r>
  <r>
    <s v="WED"/>
    <x v="74"/>
    <n v="1023.2445268195776"/>
  </r>
  <r>
    <s v="THU"/>
    <x v="75"/>
    <n v="925.09189861329355"/>
  </r>
  <r>
    <s v="FRI"/>
    <x v="76"/>
    <n v="867.08078233801234"/>
  </r>
  <r>
    <s v="SAT"/>
    <x v="77"/>
    <n v="638.7739381548937"/>
  </r>
  <r>
    <s v="SUN"/>
    <x v="78"/>
    <n v="0"/>
  </r>
  <r>
    <s v="MON"/>
    <x v="79"/>
    <n v="1139.6741208078454"/>
  </r>
  <r>
    <s v="TUE"/>
    <x v="80"/>
    <n v="1106.6616793167884"/>
  </r>
  <r>
    <s v="WED"/>
    <x v="81"/>
    <n v="1146.0009537893548"/>
  </r>
  <r>
    <s v="THU"/>
    <x v="82"/>
    <n v="1077.2798413923681"/>
  </r>
  <r>
    <s v="FRI"/>
    <x v="83"/>
    <n v="1005.4713634391726"/>
  </r>
  <r>
    <s v="SAT"/>
    <x v="84"/>
    <n v="615.64941000823796"/>
  </r>
  <r>
    <s v="SUN"/>
    <x v="85"/>
    <n v="426.46594232449752"/>
  </r>
  <r>
    <s v="MON"/>
    <x v="86"/>
    <n v="1108.7763445740716"/>
  </r>
  <r>
    <s v="TUE"/>
    <x v="87"/>
    <n v="1174.8733799513188"/>
  </r>
  <r>
    <s v="WED"/>
    <x v="88"/>
    <n v="1171.5395945090004"/>
  </r>
  <r>
    <s v="THU"/>
    <x v="89"/>
    <n v="1185.3070662889379"/>
  </r>
  <r>
    <s v="FRI"/>
    <x v="90"/>
    <n v="1104.7912000000001"/>
  </r>
  <r>
    <s v="SAT"/>
    <x v="91"/>
    <n v="730.94463439736376"/>
  </r>
  <r>
    <s v="SUN"/>
    <x v="92"/>
    <n v="474.0436948721914"/>
  </r>
  <r>
    <s v="MON"/>
    <x v="93"/>
    <n v="1229.0308774286896"/>
  </r>
  <r>
    <s v="TUE"/>
    <x v="94"/>
    <n v="1247.8650000000002"/>
  </r>
  <r>
    <s v="WED"/>
    <x v="95"/>
    <n v="1171.3843955774951"/>
  </r>
  <r>
    <s v="THU"/>
    <x v="96"/>
    <n v="1117.049926800898"/>
  </r>
  <r>
    <s v="FRI"/>
    <x v="97"/>
    <n v="1018.1859319804813"/>
  </r>
  <r>
    <s v="SAT"/>
    <x v="98"/>
    <n v="746.23150568619349"/>
  </r>
  <r>
    <s v="SUN"/>
    <x v="99"/>
    <n v="394.36324741745733"/>
  </r>
  <r>
    <s v="MON"/>
    <x v="100"/>
    <n v="1234.2641262310631"/>
  </r>
  <r>
    <s v="TUE"/>
    <x v="101"/>
    <n v="1232.4665"/>
  </r>
  <r>
    <s v="WED"/>
    <x v="102"/>
    <n v="1117.7537358903576"/>
  </r>
  <r>
    <s v="THU"/>
    <x v="103"/>
    <n v="1146.6219398104647"/>
  </r>
  <r>
    <s v="FRI"/>
    <x v="104"/>
    <n v="1025.9707457772361"/>
  </r>
  <r>
    <s v="SAT"/>
    <x v="105"/>
    <n v="739.95384092498591"/>
  </r>
  <r>
    <s v="SUN"/>
    <x v="106"/>
    <n v="405.93202768915273"/>
  </r>
  <r>
    <s v="MON"/>
    <x v="107"/>
    <n v="1217.5176870553869"/>
  </r>
  <r>
    <s v="TUE"/>
    <x v="108"/>
    <n v="1179.0134997973557"/>
  </r>
  <r>
    <s v="WED"/>
    <x v="109"/>
    <n v="1154.225610566674"/>
  </r>
  <r>
    <s v="THU"/>
    <x v="110"/>
    <n v="1147.6230895727454"/>
  </r>
  <r>
    <s v="FRI"/>
    <x v="111"/>
    <n v="1047.6014096166784"/>
  </r>
  <r>
    <s v="SAT"/>
    <x v="112"/>
    <n v="675.72823368258696"/>
  </r>
  <r>
    <s v="SUN"/>
    <x v="113"/>
    <n v="394.38996022465358"/>
  </r>
  <r>
    <s v="MON"/>
    <x v="114"/>
    <n v="580.20449393254523"/>
  </r>
  <r>
    <s v="TUE"/>
    <x v="115"/>
    <n v="1236.779"/>
  </r>
  <r>
    <s v="WED"/>
    <x v="116"/>
    <n v="1211.433"/>
  </r>
  <r>
    <s v="THU"/>
    <x v="117"/>
    <n v="1176.7470286854852"/>
  </r>
  <r>
    <s v="FRI"/>
    <x v="118"/>
    <n v="1077.2591823432142"/>
  </r>
  <r>
    <s v="SAT"/>
    <x v="119"/>
    <n v="779.12577103052104"/>
  </r>
  <r>
    <s v="SUN"/>
    <x v="120"/>
    <n v="452.11613737341031"/>
  </r>
  <r>
    <s v="MON"/>
    <x v="121"/>
    <n v="1206.1147146687697"/>
  </r>
  <r>
    <s v="TUE"/>
    <x v="122"/>
    <n v="1229.6759999999999"/>
  </r>
  <r>
    <s v="WED"/>
    <x v="123"/>
    <n v="1191.7053908832809"/>
  </r>
  <r>
    <s v="THU"/>
    <x v="124"/>
    <n v="1093.9972411253584"/>
  </r>
  <r>
    <s v="FRI"/>
    <x v="125"/>
    <n v="1044.2602835456121"/>
  </r>
  <r>
    <s v="SAT"/>
    <x v="126"/>
    <n v="767.48797351791973"/>
  </r>
  <r>
    <s v="SUN"/>
    <x v="127"/>
    <n v="444.30959710664257"/>
  </r>
  <r>
    <s v="MON"/>
    <x v="128"/>
    <n v="1212.2352799369085"/>
  </r>
  <r>
    <s v="TUE"/>
    <x v="129"/>
    <n v="1195.5214411987381"/>
  </r>
  <r>
    <s v="WED"/>
    <x v="130"/>
    <n v="1111.9192721451104"/>
  </r>
  <r>
    <s v="THU"/>
    <x v="131"/>
    <n v="1105.7827005943382"/>
  </r>
  <r>
    <s v="FRI"/>
    <x v="132"/>
    <n v="1026.0652492113566"/>
  </r>
  <r>
    <s v="SAT"/>
    <x v="133"/>
    <n v="719.49576872269847"/>
  </r>
  <r>
    <s v="SUN"/>
    <x v="134"/>
    <n v="368.50962321579266"/>
  </r>
  <r>
    <s v="MON"/>
    <x v="135"/>
    <n v="1181.299"/>
  </r>
  <r>
    <s v="TUE"/>
    <x v="136"/>
    <n v="1210.5770000000002"/>
  </r>
  <r>
    <s v="WED"/>
    <x v="137"/>
    <n v="1119.6684774132491"/>
  </r>
  <r>
    <s v="THU"/>
    <x v="138"/>
    <n v="1107.8562927760252"/>
  </r>
  <r>
    <s v="FRI"/>
    <x v="139"/>
    <n v="1063.8353418296531"/>
  </r>
  <r>
    <s v="SAT"/>
    <x v="140"/>
    <n v="742.4756635550533"/>
  </r>
  <r>
    <s v="SUN"/>
    <x v="141"/>
    <n v="478.32042198337535"/>
  </r>
  <r>
    <s v="MON"/>
    <x v="142"/>
    <n v="1163.5938016275686"/>
  </r>
  <r>
    <s v="TUE"/>
    <x v="143"/>
    <n v="1221.7931662460569"/>
  </r>
  <r>
    <s v="WED"/>
    <x v="144"/>
    <n v="1248.902539202661"/>
  </r>
  <r>
    <s v="THU"/>
    <x v="145"/>
    <n v="1124.7187043533122"/>
  </r>
  <r>
    <s v="FRI"/>
    <x v="146"/>
    <n v="1073.7243440378547"/>
  </r>
  <r>
    <s v="SAT"/>
    <x v="147"/>
    <n v="776.9050656548543"/>
  </r>
  <r>
    <s v="SUN"/>
    <x v="148"/>
    <n v="452.23390549074668"/>
  </r>
  <r>
    <s v="MON"/>
    <x v="149"/>
    <n v="1142.8593558575456"/>
  </r>
  <r>
    <s v="TUE"/>
    <x v="150"/>
    <n v="1228.29"/>
  </r>
  <r>
    <s v="WED"/>
    <x v="151"/>
    <n v="1178.2519700998164"/>
  </r>
  <r>
    <s v="THU"/>
    <x v="152"/>
    <n v="1136.8763579069873"/>
  </r>
  <r>
    <s v="FRI"/>
    <x v="153"/>
    <n v="312.67"/>
  </r>
  <r>
    <s v="SAT"/>
    <x v="154"/>
    <n v="778.77814462622712"/>
  </r>
  <r>
    <s v="SUN"/>
    <x v="155"/>
    <n v="452.51489686740342"/>
  </r>
  <r>
    <s v="MON"/>
    <x v="156"/>
    <n v="1251.8389999999999"/>
  </r>
  <r>
    <s v="TUE"/>
    <x v="157"/>
    <n v="1236.8874316463778"/>
  </r>
  <r>
    <s v="WED"/>
    <x v="158"/>
    <n v="1149.8899013175242"/>
  </r>
  <r>
    <s v="THU"/>
    <x v="159"/>
    <n v="1132.3474977573892"/>
  </r>
  <r>
    <s v="FRI"/>
    <x v="160"/>
    <n v="1146.8429999999998"/>
  </r>
  <r>
    <s v="SAT"/>
    <x v="161"/>
    <n v="749.71727099840132"/>
  </r>
  <r>
    <s v="SUN"/>
    <x v="162"/>
    <n v="407.91134187083884"/>
  </r>
  <r>
    <s v="MON"/>
    <x v="163"/>
    <n v="1226.4382000000001"/>
  </r>
  <r>
    <s v="TUE"/>
    <x v="164"/>
    <n v="1228.8948564522627"/>
  </r>
  <r>
    <s v="WED"/>
    <x v="165"/>
    <n v="1219.413"/>
  </r>
  <r>
    <s v="THU"/>
    <x v="166"/>
    <n v="1137.3865000000001"/>
  </r>
  <r>
    <s v="FRI"/>
    <x v="167"/>
    <n v="1149.1270280141828"/>
  </r>
  <r>
    <s v="SAT"/>
    <x v="168"/>
    <n v="789.73164113739142"/>
  </r>
  <r>
    <s v="SUN"/>
    <x v="169"/>
    <n v="385.89628225165495"/>
  </r>
  <r>
    <s v="MON"/>
    <x v="170"/>
    <n v="1236.88480086239"/>
  </r>
  <r>
    <s v="TUE"/>
    <x v="171"/>
    <n v="1254.0243123827602"/>
  </r>
  <r>
    <s v="WED"/>
    <x v="172"/>
    <n v="1218.3729948072344"/>
  </r>
  <r>
    <s v="THU"/>
    <x v="173"/>
    <n v="1158.7967334973173"/>
  </r>
  <r>
    <s v="FRI"/>
    <x v="174"/>
    <n v="1127.3685157674781"/>
  </r>
  <r>
    <s v="SAT"/>
    <x v="175"/>
    <n v="673.69560938810218"/>
  </r>
  <r>
    <s v="SUN"/>
    <x v="176"/>
    <n v="419.09766230884048"/>
  </r>
  <r>
    <s v="MON"/>
    <x v="177"/>
    <n v="1265.3964745687672"/>
  </r>
  <r>
    <s v="TUE"/>
    <x v="178"/>
    <n v="1170.8138857566598"/>
  </r>
  <r>
    <s v="WED"/>
    <x v="179"/>
    <n v="1235.6692721015634"/>
  </r>
  <r>
    <s v="THU"/>
    <x v="180"/>
    <n v="1207.2561980116775"/>
  </r>
  <r>
    <s v="FRI"/>
    <x v="181"/>
    <n v="1079.5119999999999"/>
  </r>
  <r>
    <s v="SAT"/>
    <x v="182"/>
    <n v="720.26"/>
  </r>
  <r>
    <s v="SUN"/>
    <x v="183"/>
    <n v="400.61152673060155"/>
  </r>
  <r>
    <s v="MON"/>
    <x v="184"/>
    <n v="1208.6315161516532"/>
  </r>
  <r>
    <s v="TUE"/>
    <x v="185"/>
    <n v="1228.9993954461588"/>
  </r>
  <r>
    <s v="WED"/>
    <x v="186"/>
    <n v="1117.1030683009496"/>
  </r>
  <r>
    <s v="THU"/>
    <x v="187"/>
    <n v="1157.0325525606961"/>
  </r>
  <r>
    <s v="FRI"/>
    <x v="188"/>
    <n v="1103.750474284949"/>
  </r>
  <r>
    <s v="SAT"/>
    <x v="189"/>
    <n v="700.17225751754245"/>
  </r>
  <r>
    <s v="SUN"/>
    <x v="190"/>
    <n v="403.28839785372122"/>
  </r>
  <r>
    <s v="MON"/>
    <x v="191"/>
    <n v="1171.3659214850873"/>
  </r>
  <r>
    <s v="TUE"/>
    <x v="192"/>
    <n v="1225.3920000000001"/>
  </r>
  <r>
    <s v="WED"/>
    <x v="193"/>
    <n v="1128.8347799140765"/>
  </r>
  <r>
    <s v="THU"/>
    <x v="194"/>
    <n v="1076.8805908581392"/>
  </r>
  <r>
    <s v="FRI"/>
    <x v="195"/>
    <n v="1037.961"/>
  </r>
  <r>
    <s v="SAT"/>
    <x v="196"/>
    <n v="641.29275809618787"/>
  </r>
  <r>
    <s v="SUN"/>
    <x v="197"/>
    <n v="421.30177630442461"/>
  </r>
  <r>
    <s v="MON"/>
    <x v="198"/>
    <n v="1122.7223564955307"/>
  </r>
  <r>
    <s v="TUE"/>
    <x v="199"/>
    <n v="1122.3767442565613"/>
  </r>
  <r>
    <s v="WED"/>
    <x v="200"/>
    <n v="1181.3733803934815"/>
  </r>
  <r>
    <s v="THU"/>
    <x v="201"/>
    <n v="1083.6545932997112"/>
  </r>
  <r>
    <s v="FRI"/>
    <x v="202"/>
    <n v="958.66379150322359"/>
  </r>
  <r>
    <s v="SAT"/>
    <x v="203"/>
    <n v="719.20912347270371"/>
  </r>
  <r>
    <s v="SUN"/>
    <x v="204"/>
    <n v="358.64802227096413"/>
  </r>
  <r>
    <s v="MON"/>
    <x v="205"/>
    <n v="1186.7925460502984"/>
  </r>
  <r>
    <s v="TUE"/>
    <x v="206"/>
    <n v="1216.252"/>
  </r>
  <r>
    <s v="WED"/>
    <x v="207"/>
    <n v="1227.1479999999999"/>
  </r>
  <r>
    <s v="THU"/>
    <x v="208"/>
    <n v="1059.4447537675924"/>
  </r>
  <r>
    <s v="FRI"/>
    <x v="209"/>
    <n v="1012.0200000000002"/>
  </r>
  <r>
    <s v="SAT"/>
    <x v="210"/>
    <n v="705.28372081120835"/>
  </r>
  <r>
    <s v="SUN"/>
    <x v="211"/>
    <n v="399.28715724008498"/>
  </r>
  <r>
    <s v="MON"/>
    <x v="212"/>
    <n v="708"/>
  </r>
  <r>
    <s v="TUE"/>
    <x v="213"/>
    <n v="1344"/>
  </r>
  <r>
    <s v="WED"/>
    <x v="214"/>
    <n v="1324"/>
  </r>
  <r>
    <s v="THU"/>
    <x v="215"/>
    <n v="1242"/>
  </r>
  <r>
    <s v="FRI"/>
    <x v="216"/>
    <n v="1122"/>
  </r>
  <r>
    <s v="SAT"/>
    <x v="217"/>
    <n v="885"/>
  </r>
  <r>
    <s v="SUN"/>
    <x v="218"/>
    <n v="508"/>
  </r>
  <r>
    <s v="MON"/>
    <x v="219"/>
    <n v="1386"/>
  </r>
  <r>
    <s v="TUE"/>
    <x v="220"/>
    <n v="1354"/>
  </r>
  <r>
    <s v="WED"/>
    <x v="221"/>
    <n v="1285"/>
  </r>
  <r>
    <s v="THU"/>
    <x v="222"/>
    <n v="1142"/>
  </r>
  <r>
    <s v="FRI"/>
    <x v="223"/>
    <n v="1071"/>
  </r>
  <r>
    <s v="SAT"/>
    <x v="224"/>
    <n v="868"/>
  </r>
  <r>
    <s v="SUN"/>
    <x v="225"/>
    <n v="500"/>
  </r>
  <r>
    <s v="MON"/>
    <x v="226"/>
    <n v="1308"/>
  </r>
  <r>
    <s v="TUE"/>
    <x v="227"/>
    <n v="1218"/>
  </r>
  <r>
    <s v="WED"/>
    <x v="228"/>
    <n v="1121"/>
  </r>
  <r>
    <s v="THU"/>
    <x v="229"/>
    <n v="1152"/>
  </r>
  <r>
    <s v="FRI"/>
    <x v="230"/>
    <n v="1265"/>
  </r>
  <r>
    <s v="SAT"/>
    <x v="231"/>
    <n v="1034"/>
  </r>
  <r>
    <s v="SUN"/>
    <x v="232"/>
    <n v="595"/>
  </r>
  <r>
    <s v="MON"/>
    <x v="233"/>
    <n v="1795"/>
  </r>
  <r>
    <s v="TUE"/>
    <x v="234"/>
    <n v="1989"/>
  </r>
  <r>
    <s v="WED"/>
    <x v="235"/>
    <n v="1661"/>
  </r>
  <r>
    <s v="THU"/>
    <x v="236"/>
    <n v="1549"/>
  </r>
  <r>
    <s v="FRI"/>
    <x v="237"/>
    <n v="1399"/>
  </r>
  <r>
    <s v="SAT"/>
    <x v="238"/>
    <n v="1224"/>
  </r>
  <r>
    <s v="SUN"/>
    <x v="239"/>
    <n v="730"/>
  </r>
  <r>
    <s v="MON"/>
    <x v="240"/>
    <n v="1761"/>
  </r>
  <r>
    <s v="TUE"/>
    <x v="241"/>
    <n v="1584"/>
  </r>
  <r>
    <s v="WED"/>
    <x v="242"/>
    <n v="1579"/>
  </r>
  <r>
    <s v="THU"/>
    <x v="243"/>
    <n v="1540"/>
  </r>
  <r>
    <s v="FRI"/>
    <x v="244"/>
    <n v="1502"/>
  </r>
  <r>
    <s v="SAT"/>
    <x v="245"/>
    <n v="1233"/>
  </r>
  <r>
    <s v="SUN"/>
    <x v="246"/>
    <n v="808"/>
  </r>
  <r>
    <s v="MON"/>
    <x v="247"/>
    <n v="1444"/>
  </r>
  <r>
    <s v="TUE"/>
    <x v="248"/>
    <n v="1406"/>
  </r>
  <r>
    <s v="WED"/>
    <x v="249"/>
    <n v="1347"/>
  </r>
  <r>
    <s v="THU"/>
    <x v="250"/>
    <n v="1355"/>
  </r>
  <r>
    <s v="FRI"/>
    <x v="251"/>
    <n v="1309"/>
  </r>
  <r>
    <s v="SAT"/>
    <x v="252"/>
    <n v="1102"/>
  </r>
  <r>
    <s v="SUN"/>
    <x v="253"/>
    <n v="825"/>
  </r>
  <r>
    <s v="MON"/>
    <x v="254"/>
    <n v="1425"/>
  </r>
  <r>
    <s v="TUE"/>
    <x v="255"/>
    <n v="1386"/>
  </r>
  <r>
    <s v="WED"/>
    <x v="256"/>
    <n v="1347"/>
  </r>
  <r>
    <s v="THU"/>
    <x v="257"/>
    <n v="1309"/>
  </r>
  <r>
    <s v="FRI"/>
    <x v="258"/>
    <n v="1270"/>
  </r>
  <r>
    <s v="SAT"/>
    <x v="259"/>
    <n v="1084"/>
  </r>
  <r>
    <s v="SUN"/>
    <x v="260"/>
    <n v="626"/>
  </r>
  <r>
    <s v="MON"/>
    <x v="261"/>
    <n v="1425"/>
  </r>
  <r>
    <s v="TUE"/>
    <x v="262"/>
    <n v="1386"/>
  </r>
  <r>
    <s v="WED"/>
    <x v="263"/>
    <n v="1347"/>
  </r>
  <r>
    <s v="THU"/>
    <x v="264"/>
    <n v="1270"/>
  </r>
  <r>
    <s v="FRI"/>
    <x v="265"/>
    <n v="1233"/>
  </r>
  <r>
    <s v="SAT"/>
    <x v="266"/>
    <n v="872"/>
  </r>
  <r>
    <s v="SUN"/>
    <x v="267"/>
    <n v="638"/>
  </r>
  <r>
    <s v="MON"/>
    <x v="268"/>
    <n v="1371"/>
  </r>
  <r>
    <s v="TUE"/>
    <x v="269"/>
    <n v="1347"/>
  </r>
  <r>
    <s v="WED"/>
    <x v="270"/>
    <n v="1243"/>
  </r>
  <r>
    <s v="THU"/>
    <x v="271"/>
    <n v="1275"/>
  </r>
  <r>
    <s v="FRI"/>
    <x v="272"/>
    <n v="1198"/>
  </r>
  <r>
    <s v="SAT"/>
    <x v="273"/>
    <n v="1054.4236000000001"/>
  </r>
  <r>
    <s v="SUN"/>
    <x v="274"/>
    <n v="713.80090369107688"/>
  </r>
  <r>
    <s v="MON"/>
    <x v="275"/>
    <n v="1558.046526206218"/>
  </r>
  <r>
    <s v="TUE"/>
    <x v="276"/>
    <n v="1520.5830317548198"/>
  </r>
  <r>
    <s v="WED"/>
    <x v="277"/>
    <n v="1480.1422388139767"/>
  </r>
  <r>
    <s v="THU"/>
    <x v="278"/>
    <n v="1381.4255301311509"/>
  </r>
  <r>
    <s v="FRI"/>
    <x v="279"/>
    <n v="1330.4357588252112"/>
  </r>
  <r>
    <s v="SAT"/>
    <x v="280"/>
    <n v="1067.28798955814"/>
  </r>
  <r>
    <s v="SUN"/>
    <x v="281"/>
    <n v="688.24249898223377"/>
  </r>
  <r>
    <s v="MON"/>
    <x v="282"/>
    <n v="1667.7052960715694"/>
  </r>
  <r>
    <s v="TUE"/>
    <x v="283"/>
    <n v="1583.4929999999999"/>
  </r>
  <r>
    <s v="WED"/>
    <x v="284"/>
    <n v="1534.5860107957178"/>
  </r>
  <r>
    <s v="THU"/>
    <x v="285"/>
    <n v="1431.4745087188494"/>
  </r>
  <r>
    <s v="FRI"/>
    <x v="286"/>
    <n v="1406.6442967074283"/>
  </r>
  <r>
    <s v="SAT"/>
    <x v="287"/>
    <n v="1058.6024659024301"/>
  </r>
  <r>
    <s v="SUN"/>
    <x v="288"/>
    <n v="681.16519282210902"/>
  </r>
  <r>
    <s v="MON"/>
    <x v="289"/>
    <n v="1627.3117448459657"/>
  </r>
  <r>
    <s v="TUE"/>
    <x v="290"/>
    <n v="1636.1046213998675"/>
  </r>
  <r>
    <s v="WED"/>
    <x v="291"/>
    <n v="1585.0680134221886"/>
  </r>
  <r>
    <s v="THU"/>
    <x v="292"/>
    <n v="1465.4316839024557"/>
  </r>
  <r>
    <s v="FRI"/>
    <x v="293"/>
    <n v="1465.6175566559464"/>
  </r>
  <r>
    <s v="SAT"/>
    <x v="294"/>
    <n v="1138.9306681009798"/>
  </r>
  <r>
    <s v="SUN"/>
    <x v="295"/>
    <n v="720.24659644401413"/>
  </r>
  <r>
    <s v="MON"/>
    <x v="296"/>
    <n v="1910.9480802092025"/>
  </r>
  <r>
    <s v="TUE"/>
    <x v="297"/>
    <n v="1803.6792060962305"/>
  </r>
  <r>
    <s v="WED"/>
    <x v="298"/>
    <n v="1747.6422349247478"/>
  </r>
  <r>
    <s v="THU"/>
    <x v="299"/>
    <m/>
  </r>
  <r>
    <s v="FRI"/>
    <x v="300"/>
    <n v="1767.533805337303"/>
  </r>
  <r>
    <s v="SAT"/>
    <x v="301"/>
    <n v="1284.7107861303953"/>
  </r>
  <r>
    <s v="SUN"/>
    <x v="302"/>
    <n v="899.31486829048265"/>
  </r>
  <r>
    <s v="MON"/>
    <x v="303"/>
    <n v="1885"/>
  </r>
  <r>
    <s v="TUE"/>
    <x v="304"/>
    <n v="1799"/>
  </r>
  <r>
    <s v="WED"/>
    <x v="305"/>
    <n v="1756"/>
  </r>
  <r>
    <s v="THU"/>
    <x v="306"/>
    <n v="1670"/>
  </r>
  <r>
    <s v="FRI"/>
    <x v="307"/>
    <n v="1542"/>
  </r>
  <r>
    <s v="SAT"/>
    <x v="308"/>
    <n v="1371"/>
  </r>
  <r>
    <s v="SUN"/>
    <x v="309"/>
    <n v="878"/>
  </r>
  <r>
    <s v="MON"/>
    <x v="310"/>
    <n v="1699"/>
  </r>
  <r>
    <s v="TUE"/>
    <x v="311"/>
    <n v="1628"/>
  </r>
  <r>
    <s v="WED"/>
    <x v="312"/>
    <n v="1582"/>
  </r>
  <r>
    <s v="THU"/>
    <x v="313"/>
    <n v="1542"/>
  </r>
  <r>
    <s v="FRI"/>
    <x v="314"/>
    <n v="1535"/>
  </r>
  <r>
    <s v="SAT"/>
    <x v="315"/>
    <n v="1457"/>
  </r>
  <r>
    <s v="SUN"/>
    <x v="316"/>
    <n v="933"/>
  </r>
  <r>
    <s v="MON"/>
    <x v="317"/>
    <n v="1799"/>
  </r>
  <r>
    <s v="TUE"/>
    <x v="318"/>
    <n v="1721"/>
  </r>
  <r>
    <s v="WED"/>
    <x v="319"/>
    <n v="1709"/>
  </r>
  <r>
    <s v="THU"/>
    <x v="320"/>
    <n v="1692"/>
  </r>
  <r>
    <s v="FRI"/>
    <x v="321"/>
    <n v="1585"/>
  </r>
  <r>
    <s v="SAT"/>
    <x v="322"/>
    <n v="1071"/>
  </r>
  <r>
    <s v="SUN"/>
    <x v="323"/>
    <n v="728"/>
  </r>
  <r>
    <s v="MON"/>
    <x v="324"/>
    <n v="1242"/>
  </r>
  <r>
    <s v="TUE"/>
    <x v="325"/>
    <n v="1199"/>
  </r>
  <r>
    <s v="WED"/>
    <x v="326"/>
    <n v="643"/>
  </r>
  <r>
    <s v="THU"/>
    <x v="327"/>
    <m/>
  </r>
  <r>
    <s v="FRI"/>
    <x v="328"/>
    <n v="1799"/>
  </r>
  <r>
    <s v="SAT"/>
    <x v="329"/>
    <n v="1614"/>
  </r>
  <r>
    <s v="SUN"/>
    <x v="330"/>
    <n v="1457"/>
  </r>
  <r>
    <s v="MON"/>
    <x v="331"/>
    <n v="1414"/>
  </r>
  <r>
    <s v="TUE"/>
    <x v="332"/>
    <n v="1242"/>
  </r>
  <r>
    <s v="WED"/>
    <x v="333"/>
    <n v="643"/>
  </r>
  <r>
    <s v="THU"/>
    <x v="334"/>
    <n v="588"/>
  </r>
  <r>
    <s v="FRI"/>
    <x v="335"/>
    <n v="1894"/>
  </r>
  <r>
    <s v="SAT"/>
    <x v="336"/>
    <n v="1494"/>
  </r>
  <r>
    <s v="SUN"/>
    <x v="337"/>
    <n v="838"/>
  </r>
  <r>
    <s v="MON"/>
    <x v="338"/>
    <n v="1858"/>
  </r>
  <r>
    <s v="TUE"/>
    <x v="339"/>
    <n v="1256"/>
  </r>
  <r>
    <s v="WED"/>
    <x v="340"/>
    <n v="1202"/>
  </r>
  <r>
    <s v="THU"/>
    <x v="341"/>
    <n v="1238"/>
  </r>
  <r>
    <s v="FRI"/>
    <x v="342"/>
    <n v="1202"/>
  </r>
  <r>
    <s v="SAT"/>
    <x v="343"/>
    <n v="1057"/>
  </r>
  <r>
    <s v="SUN"/>
    <x v="344"/>
    <n v="655"/>
  </r>
  <r>
    <s v="MON"/>
    <x v="345"/>
    <n v="1421"/>
  </r>
  <r>
    <s v="TUE"/>
    <x v="346"/>
    <n v="1311"/>
  </r>
  <r>
    <s v="WED"/>
    <x v="347"/>
    <n v="1275"/>
  </r>
  <r>
    <s v="THU"/>
    <x v="348"/>
    <n v="1256"/>
  </r>
  <r>
    <s v="FRI"/>
    <x v="349"/>
    <n v="1238"/>
  </r>
  <r>
    <s v="SAT"/>
    <x v="350"/>
    <n v="1057"/>
  </r>
  <r>
    <s v="SUN"/>
    <x v="351"/>
    <n v="583"/>
  </r>
  <r>
    <s v="MON"/>
    <x v="352"/>
    <n v="1092"/>
  </r>
  <r>
    <s v="TUE"/>
    <x v="353"/>
    <n v="1348"/>
  </r>
  <r>
    <s v="WED"/>
    <x v="354"/>
    <n v="1275"/>
  </r>
  <r>
    <s v="THU"/>
    <x v="355"/>
    <n v="1275"/>
  </r>
  <r>
    <s v="FRI"/>
    <x v="356"/>
    <n v="1283"/>
  </r>
  <r>
    <s v="SAT"/>
    <x v="357"/>
    <n v="1165"/>
  </r>
  <r>
    <s v="SUN"/>
    <x v="358"/>
    <n v="547"/>
  </r>
  <r>
    <s v="MON"/>
    <x v="359"/>
    <n v="1275"/>
  </r>
  <r>
    <s v="TUE"/>
    <x v="360"/>
    <n v="1165"/>
  </r>
  <r>
    <s v="WED"/>
    <x v="361"/>
    <n v="1169"/>
  </r>
  <r>
    <s v="THU"/>
    <x v="362"/>
    <n v="1183"/>
  </r>
  <r>
    <s v="FRI"/>
    <x v="363"/>
    <n v="1202"/>
  </r>
  <r>
    <s v="SAT"/>
    <x v="364"/>
    <n v="1020"/>
  </r>
  <r>
    <s v="SUN"/>
    <x v="365"/>
    <n v="717"/>
  </r>
  <r>
    <s v="MON"/>
    <x v="366"/>
    <n v="1548"/>
  </r>
  <r>
    <s v="TUE"/>
    <x v="367"/>
    <n v="1529"/>
  </r>
  <r>
    <s v="WED"/>
    <x v="368"/>
    <n v="1499"/>
  </r>
  <r>
    <s v="THU"/>
    <x v="369"/>
    <n v="1454"/>
  </r>
  <r>
    <s v="FRI"/>
    <x v="370"/>
    <n v="1454"/>
  </r>
  <r>
    <s v="SAT"/>
    <x v="371"/>
    <n v="1208"/>
  </r>
  <r>
    <s v="SUN"/>
    <x v="372"/>
    <n v="755"/>
  </r>
  <r>
    <s v="MON"/>
    <x v="373"/>
    <n v="1548"/>
  </r>
  <r>
    <s v="TUE"/>
    <x v="374"/>
    <n v="1495"/>
  </r>
  <r>
    <s v="WED"/>
    <x v="375"/>
    <n v="1454"/>
  </r>
  <r>
    <s v="THU"/>
    <x v="376"/>
    <n v="1457"/>
  </r>
  <r>
    <s v="FRI"/>
    <x v="377"/>
    <n v="1438"/>
  </r>
  <r>
    <s v="SAT"/>
    <x v="378"/>
    <n v="1208"/>
  </r>
  <r>
    <s v="SUN"/>
    <x v="379"/>
    <n v="755"/>
  </r>
  <r>
    <s v="MON"/>
    <x v="380"/>
    <n v="1548"/>
  </r>
  <r>
    <s v="TUE"/>
    <x v="381"/>
    <n v="1529"/>
  </r>
  <r>
    <s v="WED"/>
    <x v="382"/>
    <n v="1480"/>
  </r>
  <r>
    <s v="THU"/>
    <x v="383"/>
    <n v="1480"/>
  </r>
  <r>
    <s v="FRI"/>
    <x v="384"/>
    <n v="1510"/>
  </r>
  <r>
    <s v="SAT"/>
    <x v="385"/>
    <n v="1133"/>
  </r>
  <r>
    <s v="SUN"/>
    <x v="386"/>
    <n v="755"/>
  </r>
  <r>
    <s v="MON"/>
    <x v="387"/>
    <n v="1548"/>
  </r>
  <r>
    <s v="TUE"/>
    <x v="388"/>
    <n v="1510"/>
  </r>
  <r>
    <s v="WED"/>
    <x v="389"/>
    <n v="1510"/>
  </r>
  <r>
    <s v="THU"/>
    <x v="390"/>
    <n v="1588"/>
  </r>
  <r>
    <s v="FRI"/>
    <x v="391"/>
    <n v="1510"/>
  </r>
  <r>
    <s v="SAT"/>
    <x v="392"/>
    <n v="1133"/>
  </r>
  <r>
    <m/>
    <x v="39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s v="SAT"/>
    <x v="0"/>
    <n v="529.69188859820758"/>
    <n v="999.29610859045567"/>
  </r>
  <r>
    <s v="SUN"/>
    <x v="1"/>
    <n v="338.66062866938603"/>
    <n v="961.27523702735868"/>
  </r>
  <r>
    <s v="MON"/>
    <x v="2"/>
    <n v="875.60854851685963"/>
    <n v="963.51593968616942"/>
  </r>
  <r>
    <s v="TUE"/>
    <x v="3"/>
    <n v="854.50258200849782"/>
    <n v="978.84903924846162"/>
  </r>
  <r>
    <s v="WED"/>
    <x v="4"/>
    <n v="779.82701108732772"/>
    <n v="944.42176257054609"/>
  </r>
  <r>
    <s v="THU"/>
    <x v="5"/>
    <n v="714.38927097805845"/>
    <n v="961.80709221521749"/>
  </r>
  <r>
    <s v="FRI"/>
    <x v="6"/>
    <n v="690.98297242592025"/>
    <n v="978.46885769782136"/>
  </r>
  <r>
    <s v="SAT"/>
    <x v="7"/>
    <n v="498.97790808657572"/>
    <n v="997.17184954924619"/>
  </r>
  <r>
    <s v="SUN"/>
    <x v="8"/>
    <n v="313.94400000000002"/>
    <n v="960.98922100756829"/>
  </r>
  <r>
    <s v="MON"/>
    <x v="9"/>
    <n v="805.75400000000002"/>
    <n v="964.58659839107224"/>
  </r>
  <r>
    <s v="TUE"/>
    <x v="10"/>
    <n v="831.7733053412785"/>
    <n v="977.39195556980474"/>
  </r>
  <r>
    <s v="WED"/>
    <x v="11"/>
    <n v="790.20951413470834"/>
    <n v="944.12295989773293"/>
  </r>
  <r>
    <s v="THU"/>
    <x v="12"/>
    <n v="743.37089263997632"/>
    <n v="961.64435909038241"/>
  </r>
  <r>
    <s v="FRI"/>
    <x v="13"/>
    <n v="795.10941650556981"/>
    <n v="978.06474327599756"/>
  </r>
  <r>
    <s v="SAT"/>
    <x v="14"/>
    <n v="532.7528514928033"/>
    <n v="1001.4545629788158"/>
  </r>
  <r>
    <s v="SUN"/>
    <x v="15"/>
    <n v="331.35544504877822"/>
    <n v="961.98816380059361"/>
  </r>
  <r>
    <s v="MON"/>
    <x v="16"/>
    <n v="857.85400000000004"/>
    <n v="963.90381113802573"/>
  </r>
  <r>
    <s v="TUE"/>
    <x v="17"/>
    <n v="822.31233632522833"/>
    <n v="976.71522018811129"/>
  </r>
  <r>
    <s v="WED"/>
    <x v="18"/>
    <n v="865.20049067484695"/>
    <n v="945.10902012641895"/>
  </r>
  <r>
    <s v="THU"/>
    <x v="19"/>
    <n v="871.34719999999993"/>
    <n v="961.46345566956552"/>
  </r>
  <r>
    <s v="FRI"/>
    <x v="20"/>
    <n v="717.96080201704694"/>
    <n v="979.02650099517848"/>
  </r>
  <r>
    <s v="SAT"/>
    <x v="21"/>
    <n v="535.16505118760051"/>
    <n v="999.81466009336748"/>
  </r>
  <r>
    <s v="SUN"/>
    <x v="22"/>
    <n v="351.17323948724652"/>
    <n v="960.88020599233653"/>
  </r>
  <r>
    <s v="MON"/>
    <x v="23"/>
    <n v="875.01599999999985"/>
    <n v="967.51079980251802"/>
  </r>
  <r>
    <s v="TUE"/>
    <x v="24"/>
    <n v="888.18990000000008"/>
    <n v="979.16375203095629"/>
  </r>
  <r>
    <s v="WED"/>
    <x v="25"/>
    <n v="867.20131588451272"/>
    <n v="945.01639787840702"/>
  </r>
  <r>
    <s v="THU"/>
    <x v="26"/>
    <n v="891.71440000000007"/>
    <n v="961.30119464258951"/>
  </r>
  <r>
    <s v="FRI"/>
    <x v="27"/>
    <n v="852.72665148597548"/>
    <n v="974.91361116799771"/>
  </r>
  <r>
    <s v="SAT"/>
    <x v="28"/>
    <n v="705.60919549227367"/>
    <n v="944.20107082639333"/>
  </r>
  <r>
    <s v="SUN"/>
    <x v="29"/>
    <n v="483.70812383089128"/>
    <n v="932.39641554236971"/>
  </r>
  <r>
    <s v="MON"/>
    <x v="30"/>
    <n v="1048.7392030030942"/>
    <n v="911.59394430482757"/>
  </r>
  <r>
    <s v="TUE"/>
    <x v="31"/>
    <n v="1091.5780768351988"/>
    <n v="904.32248230953087"/>
  </r>
  <r>
    <s v="WED"/>
    <x v="32"/>
    <n v="951.30939111323505"/>
    <n v="914.75820101569673"/>
  </r>
  <r>
    <s v="THU"/>
    <x v="33"/>
    <n v="886.11970572373798"/>
    <n v="924.5690646718266"/>
  </r>
  <r>
    <s v="FRI"/>
    <x v="34"/>
    <n v="863.99273472197274"/>
    <n v="925.80049036063986"/>
  </r>
  <r>
    <s v="SAT"/>
    <x v="35"/>
    <n v="601.63654460520183"/>
    <n v="941.0050247299979"/>
  </r>
  <r>
    <s v="SUN"/>
    <x v="36"/>
    <n v="376.2296500893404"/>
    <n v="932.66214406861741"/>
  </r>
  <r>
    <s v="MON"/>
    <x v="37"/>
    <n v="978.42578431533821"/>
    <n v="914.58304421170192"/>
  </r>
  <r>
    <s v="TUE"/>
    <x v="38"/>
    <n v="1093.0832144721944"/>
    <n v="906.51685518218937"/>
  </r>
  <r>
    <s v="WED"/>
    <x v="39"/>
    <n v="1012.0738502099412"/>
    <n v="914.98043988164409"/>
  </r>
  <r>
    <s v="THU"/>
    <x v="40"/>
    <n v="872.25768766018814"/>
    <n v="930.8241339558931"/>
  </r>
  <r>
    <s v="FRI"/>
    <x v="41"/>
    <n v="867.6132540651912"/>
    <n v="929.21541626903218"/>
  </r>
  <r>
    <s v="SAT"/>
    <x v="42"/>
    <n v="579.76911491119563"/>
    <n v="947.27955128661506"/>
  </r>
  <r>
    <s v="SUN"/>
    <x v="43"/>
    <n v="395.62843511470595"/>
    <n v="934.36100497082884"/>
  </r>
  <r>
    <s v="MON"/>
    <x v="44"/>
    <n v="925.33124894920934"/>
    <n v="912.40050243462451"/>
  </r>
  <r>
    <s v="TUE"/>
    <x v="45"/>
    <n v="941.50216485338683"/>
    <n v="911.61480583372611"/>
  </r>
  <r>
    <s v="WED"/>
    <x v="46"/>
    <n v="868.14223493153258"/>
    <n v="915.61278048510894"/>
  </r>
  <r>
    <s v="THU"/>
    <x v="47"/>
    <n v="866.79314134206209"/>
    <n v="927.85807744585998"/>
  </r>
  <r>
    <s v="FRI"/>
    <x v="48"/>
    <n v="791.810150478271"/>
    <n v="923.11098951017766"/>
  </r>
  <r>
    <s v="SAT"/>
    <x v="49"/>
    <n v="565.33465669052214"/>
    <n v="950.10464663682831"/>
  </r>
  <r>
    <s v="SUN"/>
    <x v="50"/>
    <n v="364.90917943467537"/>
    <n v="935.5581740172405"/>
  </r>
  <r>
    <s v="MON"/>
    <x v="51"/>
    <n v="855.11876407747559"/>
    <n v="912.82349890880198"/>
  </r>
  <r>
    <s v="TUE"/>
    <x v="52"/>
    <n v="853.11470162442379"/>
    <n v="904.42028879317547"/>
  </r>
  <r>
    <s v="WED"/>
    <x v="53"/>
    <n v="844.93648624135847"/>
    <n v="913.93890710556195"/>
  </r>
  <r>
    <s v="THU"/>
    <x v="54"/>
    <n v="771.01386009551561"/>
    <n v="932.76470668340278"/>
  </r>
  <r>
    <s v="FRI"/>
    <x v="55"/>
    <n v="746.46182384771771"/>
    <n v="922.49368601906303"/>
  </r>
  <r>
    <s v="SAT"/>
    <x v="56"/>
    <n v="546.36266652681513"/>
    <n v="951.40070318745518"/>
  </r>
  <r>
    <s v="SUN"/>
    <x v="57"/>
    <n v="379.24699999999996"/>
    <n v="936.19287693772139"/>
  </r>
  <r>
    <s v="MON"/>
    <x v="58"/>
    <n v="869.770977218393"/>
    <n v="916.80375177683413"/>
  </r>
  <r>
    <s v="TUE"/>
    <x v="59"/>
    <n v="1111.08"/>
    <n v="945.07333405335362"/>
  </r>
  <r>
    <s v="WED"/>
    <x v="60"/>
    <n v="1045.1659999999999"/>
    <n v="941.31617369872345"/>
  </r>
  <r>
    <s v="THU"/>
    <x v="61"/>
    <n v="1039.8959381169693"/>
    <n v="942.20267539174574"/>
  </r>
  <r>
    <s v="FRI"/>
    <x v="62"/>
    <n v="975.11310801889056"/>
    <n v="937.2953840334568"/>
  </r>
  <r>
    <s v="SAT"/>
    <x v="63"/>
    <n v="671.73347684564851"/>
    <n v="942.30762126118873"/>
  </r>
  <r>
    <s v="SUN"/>
    <x v="64"/>
    <n v="439.8664"/>
    <n v="941.26589346219669"/>
  </r>
  <r>
    <s v="MON"/>
    <x v="65"/>
    <n v="1135.7067034987217"/>
    <n v="942.08439148731497"/>
  </r>
  <r>
    <s v="TUE"/>
    <x v="66"/>
    <n v="1084.7076705829045"/>
    <n v="943.90018792975445"/>
  </r>
  <r>
    <s v="WED"/>
    <x v="67"/>
    <n v="1039.7171541411788"/>
    <n v="940.74659435254853"/>
  </r>
  <r>
    <s v="THU"/>
    <x v="68"/>
    <n v="980.48300809140039"/>
    <n v="937.19502623987387"/>
  </r>
  <r>
    <s v="FRI"/>
    <x v="69"/>
    <n v="970.45999999999992"/>
    <n v="937.57010077695122"/>
  </r>
  <r>
    <s v="SAT"/>
    <x v="70"/>
    <n v="702.56519226393698"/>
    <n v="937.48953281344257"/>
  </r>
  <r>
    <s v="SUN"/>
    <x v="71"/>
    <n v="426.37614396219698"/>
    <n v="944.83651786115058"/>
  </r>
  <r>
    <s v="MON"/>
    <x v="72"/>
    <n v="1103.3085300228993"/>
    <n v="939.67294721987037"/>
  </r>
  <r>
    <s v="TUE"/>
    <x v="73"/>
    <n v="1097.758454702162"/>
    <n v="938.2421355129859"/>
  </r>
  <r>
    <s v="WED"/>
    <x v="74"/>
    <n v="1023.2445268195776"/>
    <n v="943.53338003541967"/>
  </r>
  <r>
    <s v="THU"/>
    <x v="75"/>
    <n v="925.09189861329355"/>
    <n v="943.41310964665831"/>
  </r>
  <r>
    <s v="FRI"/>
    <x v="76"/>
    <n v="867.08078233801234"/>
    <n v="934.80050721381645"/>
  </r>
  <r>
    <s v="SAT"/>
    <x v="77"/>
    <n v="638.7739381548937"/>
    <n v="932.79991744044946"/>
  </r>
  <r>
    <s v="SUN"/>
    <x v="78"/>
    <n v="0"/>
    <n v="0"/>
  </r>
  <r>
    <s v="MON"/>
    <x v="79"/>
    <n v="1139.6741208078454"/>
    <n v="939.31255549561683"/>
  </r>
  <r>
    <s v="TUE"/>
    <x v="80"/>
    <n v="1106.6616793167884"/>
    <n v="940.38477056536203"/>
  </r>
  <r>
    <s v="WED"/>
    <x v="81"/>
    <n v="1146.0009537893548"/>
    <n v="940.49583945933432"/>
  </r>
  <r>
    <s v="THU"/>
    <x v="82"/>
    <n v="1077.2798413923681"/>
    <n v="941.78121086038391"/>
  </r>
  <r>
    <s v="FRI"/>
    <x v="83"/>
    <n v="1005.4713634391726"/>
    <n v="941.09621519106963"/>
  </r>
  <r>
    <s v="SAT"/>
    <x v="84"/>
    <n v="615.64941000823796"/>
    <n v="940.41566595649203"/>
  </r>
  <r>
    <s v="SUN"/>
    <x v="85"/>
    <n v="426.46594232449752"/>
    <n v="944.85866150155107"/>
  </r>
  <r>
    <s v="MON"/>
    <x v="86"/>
    <n v="1108.7763445740716"/>
    <n v="940.5635084472558"/>
  </r>
  <r>
    <s v="TUE"/>
    <x v="87"/>
    <n v="1174.8733799513188"/>
    <n v="937.07176442097659"/>
  </r>
  <r>
    <s v="WED"/>
    <x v="88"/>
    <n v="1171.5395945090004"/>
    <n v="938.97494774727829"/>
  </r>
  <r>
    <s v="THU"/>
    <x v="89"/>
    <n v="1185.3070662889379"/>
    <n v="1018.9220587963092"/>
  </r>
  <r>
    <s v="FRI"/>
    <x v="90"/>
    <n v="1104.7912000000001"/>
    <n v="1018.2400529620437"/>
  </r>
  <r>
    <s v="SAT"/>
    <x v="91"/>
    <n v="730.94463439736376"/>
    <n v="1019.1471741935949"/>
  </r>
  <r>
    <s v="SUN"/>
    <x v="92"/>
    <n v="474.0436948721914"/>
    <n v="1021.3847617569578"/>
  </r>
  <r>
    <s v="MON"/>
    <x v="93"/>
    <n v="1229.0308774286896"/>
    <n v="1018.2952075598317"/>
  </r>
  <r>
    <s v="TUE"/>
    <x v="94"/>
    <n v="1247.8650000000002"/>
    <n v="1018.3384019905998"/>
  </r>
  <r>
    <s v="WED"/>
    <x v="95"/>
    <n v="1171.3843955774951"/>
    <n v="1019.0497671680173"/>
  </r>
  <r>
    <s v="THU"/>
    <x v="96"/>
    <n v="1117.049926800898"/>
    <n v="1020.5369289676245"/>
  </r>
  <r>
    <s v="FRI"/>
    <x v="97"/>
    <n v="1018.1859319804813"/>
    <n v="1019.2883484078392"/>
  </r>
  <r>
    <s v="SAT"/>
    <x v="98"/>
    <n v="746.23150568619349"/>
    <n v="1019.0708243910362"/>
  </r>
  <r>
    <s v="SUN"/>
    <x v="99"/>
    <n v="394.36324741745733"/>
    <n v="1018.7791165347724"/>
  </r>
  <r>
    <s v="MON"/>
    <x v="100"/>
    <n v="1234.2641262310631"/>
    <n v="1018.7249629222986"/>
  </r>
  <r>
    <s v="TUE"/>
    <x v="101"/>
    <n v="1232.4665"/>
    <n v="1018.7060865346036"/>
  </r>
  <r>
    <s v="WED"/>
    <x v="102"/>
    <n v="1117.7537358903576"/>
    <n v="1018.2814486668582"/>
  </r>
  <r>
    <s v="THU"/>
    <x v="103"/>
    <n v="1146.6219398104647"/>
    <n v="1019.0300707760055"/>
  </r>
  <r>
    <s v="FRI"/>
    <x v="104"/>
    <n v="1025.9707457772361"/>
    <n v="1018.5377618137068"/>
  </r>
  <r>
    <s v="SAT"/>
    <x v="105"/>
    <n v="739.95384092498591"/>
    <n v="1018.6212026723002"/>
  </r>
  <r>
    <s v="SUN"/>
    <x v="106"/>
    <n v="405.93202768915273"/>
    <n v="1021.2154184713476"/>
  </r>
  <r>
    <s v="MON"/>
    <x v="107"/>
    <n v="1217.5176870553869"/>
    <n v="1019.3898622815485"/>
  </r>
  <r>
    <s v="TUE"/>
    <x v="108"/>
    <n v="1179.0134997973557"/>
    <n v="1019.3610378540393"/>
  </r>
  <r>
    <s v="WED"/>
    <x v="109"/>
    <n v="1154.225610566674"/>
    <n v="1019.7275123611413"/>
  </r>
  <r>
    <s v="THU"/>
    <x v="110"/>
    <n v="1147.6230895727454"/>
    <n v="1018.6009458976181"/>
  </r>
  <r>
    <s v="FRI"/>
    <x v="111"/>
    <n v="1047.6014096166784"/>
    <n v="1019.6705061780511"/>
  </r>
  <r>
    <s v="SAT"/>
    <x v="112"/>
    <n v="675.72823368258696"/>
    <n v="1018.475828793102"/>
  </r>
  <r>
    <s v="SUN"/>
    <x v="113"/>
    <n v="394.38996022465358"/>
    <n v="1021.1053959596011"/>
  </r>
  <r>
    <s v="MON"/>
    <x v="114"/>
    <n v="580.20449393254523"/>
    <n v="1017.0419561684403"/>
  </r>
  <r>
    <s v="TUE"/>
    <x v="115"/>
    <n v="1236.779"/>
    <n v="1017.6742975099027"/>
  </r>
  <r>
    <s v="WED"/>
    <x v="116"/>
    <n v="1211.433"/>
    <n v="1017.3862277154411"/>
  </r>
  <r>
    <s v="THU"/>
    <x v="117"/>
    <n v="1176.7470286854852"/>
    <n v="1017.2243064483586"/>
  </r>
  <r>
    <s v="FRI"/>
    <x v="118"/>
    <n v="1077.2591823432142"/>
    <n v="1018.0192708664382"/>
  </r>
  <r>
    <s v="SAT"/>
    <x v="119"/>
    <n v="779.12577103052104"/>
    <n v="1021.0281993972671"/>
  </r>
  <r>
    <s v="SUN"/>
    <x v="120"/>
    <n v="452.11613737341031"/>
    <n v="1104.6107841879607"/>
  </r>
  <r>
    <s v="MON"/>
    <x v="121"/>
    <n v="1206.1147146687697"/>
    <n v="1097.8633222016276"/>
  </r>
  <r>
    <s v="TUE"/>
    <x v="122"/>
    <n v="1229.6759999999999"/>
    <n v="1102.1500785572787"/>
  </r>
  <r>
    <s v="WED"/>
    <x v="123"/>
    <n v="1191.7053908832809"/>
    <n v="1101.4363357767975"/>
  </r>
  <r>
    <s v="THU"/>
    <x v="124"/>
    <n v="1093.9972411253584"/>
    <n v="1101.2666590578276"/>
  </r>
  <r>
    <s v="FRI"/>
    <x v="125"/>
    <n v="1044.2602835456121"/>
    <n v="1101.1747414337681"/>
  </r>
  <r>
    <s v="SAT"/>
    <x v="126"/>
    <n v="767.48797351791973"/>
    <n v="1109.0169508129657"/>
  </r>
  <r>
    <s v="SUN"/>
    <x v="127"/>
    <n v="444.30959710664257"/>
    <n v="1109.3854138454531"/>
  </r>
  <r>
    <s v="MON"/>
    <x v="128"/>
    <n v="1212.2352799369085"/>
    <n v="1098.379009389653"/>
  </r>
  <r>
    <s v="TUE"/>
    <x v="129"/>
    <n v="1195.5214411987381"/>
    <n v="1099.3546281534252"/>
  </r>
  <r>
    <s v="WED"/>
    <x v="130"/>
    <n v="1111.9192721451104"/>
    <n v="1099.5168509091018"/>
  </r>
  <r>
    <s v="THU"/>
    <x v="131"/>
    <n v="1105.7827005943382"/>
    <n v="1100.6575343013287"/>
  </r>
  <r>
    <s v="FRI"/>
    <x v="132"/>
    <n v="1026.0652492113566"/>
    <n v="1096.6932657728421"/>
  </r>
  <r>
    <s v="SAT"/>
    <x v="133"/>
    <n v="719.49576872269847"/>
    <n v="1101.4333470922238"/>
  </r>
  <r>
    <s v="SUN"/>
    <x v="134"/>
    <n v="368.50962321579266"/>
    <n v="1112.1496659982431"/>
  </r>
  <r>
    <s v="MON"/>
    <x v="135"/>
    <n v="1181.299"/>
    <n v="1102.9932303337259"/>
  </r>
  <r>
    <s v="TUE"/>
    <x v="136"/>
    <n v="1210.5770000000002"/>
    <n v="1102.9728385720196"/>
  </r>
  <r>
    <s v="WED"/>
    <x v="137"/>
    <n v="1119.6684774132491"/>
    <n v="1100.2122929653913"/>
  </r>
  <r>
    <s v="THU"/>
    <x v="138"/>
    <n v="1107.8562927760252"/>
    <n v="1101.7342766296774"/>
  </r>
  <r>
    <s v="FRI"/>
    <x v="139"/>
    <n v="1063.8353418296531"/>
    <n v="1105.7469271254424"/>
  </r>
  <r>
    <s v="SAT"/>
    <x v="140"/>
    <n v="742.4756635550533"/>
    <n v="1095.8899397804066"/>
  </r>
  <r>
    <s v="SUN"/>
    <x v="141"/>
    <n v="478.32042198337535"/>
    <n v="1104.9042415774436"/>
  </r>
  <r>
    <s v="MON"/>
    <x v="142"/>
    <n v="1163.5938016275686"/>
    <n v="1105.5417572005767"/>
  </r>
  <r>
    <s v="TUE"/>
    <x v="143"/>
    <n v="1221.7931662460569"/>
    <n v="1103.8635562507761"/>
  </r>
  <r>
    <s v="WED"/>
    <x v="144"/>
    <n v="1248.902539202661"/>
    <n v="1104.8359534839799"/>
  </r>
  <r>
    <s v="THU"/>
    <x v="145"/>
    <n v="1124.7187043533122"/>
    <n v="1105.7547015180589"/>
  </r>
  <r>
    <s v="FRI"/>
    <x v="146"/>
    <n v="1073.7243440378547"/>
    <n v="1106.2147765772836"/>
  </r>
  <r>
    <s v="SAT"/>
    <x v="147"/>
    <n v="776.9050656548543"/>
    <n v="1098.2839009344509"/>
  </r>
  <r>
    <s v="SUN"/>
    <x v="148"/>
    <n v="452.23390549074668"/>
    <n v="1100.4823432774263"/>
  </r>
  <r>
    <s v="MON"/>
    <x v="149"/>
    <n v="1142.8593558575456"/>
    <n v="1101.6784982961717"/>
  </r>
  <r>
    <s v="TUE"/>
    <x v="150"/>
    <n v="1228.29"/>
    <n v="1075.7377329458027"/>
  </r>
  <r>
    <s v="WED"/>
    <x v="151"/>
    <n v="1178.2519700998164"/>
    <n v="1074.9142804297735"/>
  </r>
  <r>
    <s v="THU"/>
    <x v="152"/>
    <n v="1136.8763579069873"/>
    <n v="1074.496859140665"/>
  </r>
  <r>
    <s v="FRI"/>
    <x v="153"/>
    <n v="312.67"/>
    <n v="1074.0733041225574"/>
  </r>
  <r>
    <s v="SAT"/>
    <x v="154"/>
    <n v="778.77814462622712"/>
    <n v="1075.6964436206283"/>
  </r>
  <r>
    <s v="SUN"/>
    <x v="155"/>
    <n v="452.51489686740342"/>
    <n v="1078.1275970471056"/>
  </r>
  <r>
    <s v="MON"/>
    <x v="156"/>
    <n v="1251.8389999999999"/>
    <n v="1072.8484653377952"/>
  </r>
  <r>
    <s v="TUE"/>
    <x v="157"/>
    <n v="1236.8874316463778"/>
    <n v="1072.4701948684926"/>
  </r>
  <r>
    <s v="WED"/>
    <x v="158"/>
    <n v="1149.8899013175242"/>
    <n v="1073.4168713097924"/>
  </r>
  <r>
    <s v="THU"/>
    <x v="159"/>
    <n v="1132.3474977573892"/>
    <n v="1074.3762293699333"/>
  </r>
  <r>
    <s v="FRI"/>
    <x v="160"/>
    <n v="1146.8429999999998"/>
    <n v="1073.6276456324013"/>
  </r>
  <r>
    <s v="SAT"/>
    <x v="161"/>
    <n v="749.71727099840132"/>
    <n v="1077.2069285182322"/>
  </r>
  <r>
    <s v="SUN"/>
    <x v="162"/>
    <n v="407.91134187083884"/>
    <n v="1077.172339731773"/>
  </r>
  <r>
    <s v="MON"/>
    <x v="163"/>
    <n v="1226.4382000000001"/>
    <n v="1074.3650189630428"/>
  </r>
  <r>
    <s v="TUE"/>
    <x v="164"/>
    <n v="1228.8948564522627"/>
    <n v="1073.2750587650546"/>
  </r>
  <r>
    <s v="WED"/>
    <x v="165"/>
    <n v="1219.413"/>
    <n v="1074.0733041225574"/>
  </r>
  <r>
    <s v="THU"/>
    <x v="166"/>
    <n v="1137.3865000000001"/>
    <n v="1072.5005308221962"/>
  </r>
  <r>
    <s v="FRI"/>
    <x v="167"/>
    <n v="1149.1270280141828"/>
    <n v="1072.9842138602969"/>
  </r>
  <r>
    <s v="SAT"/>
    <x v="168"/>
    <n v="789.73164113739142"/>
    <n v="1072.8347706807474"/>
  </r>
  <r>
    <s v="SUN"/>
    <x v="169"/>
    <n v="385.89628225165495"/>
    <n v="1078.62581890556"/>
  </r>
  <r>
    <s v="MON"/>
    <x v="170"/>
    <n v="1236.88480086239"/>
    <n v="1074.792676766097"/>
  </r>
  <r>
    <s v="TUE"/>
    <x v="171"/>
    <n v="1254.0243123827602"/>
    <n v="1074.2091186980438"/>
  </r>
  <r>
    <s v="WED"/>
    <x v="172"/>
    <n v="1218.3729948072344"/>
    <n v="1074.0298330111746"/>
  </r>
  <r>
    <s v="THU"/>
    <x v="173"/>
    <n v="1158.7967334973173"/>
    <n v="1072.7834651661624"/>
  </r>
  <r>
    <s v="FRI"/>
    <x v="174"/>
    <n v="1127.3685157674781"/>
    <n v="1071.1159346740801"/>
  </r>
  <r>
    <s v="SAT"/>
    <x v="175"/>
    <n v="673.69560938810218"/>
    <n v="1075.0608425302041"/>
  </r>
  <r>
    <s v="SUN"/>
    <x v="176"/>
    <n v="419.09766230884048"/>
    <n v="1076.2927309611075"/>
  </r>
  <r>
    <s v="MON"/>
    <x v="177"/>
    <n v="1265.3964745687672"/>
    <n v="1075.9971700533695"/>
  </r>
  <r>
    <s v="TUE"/>
    <x v="178"/>
    <n v="1170.8138857566598"/>
    <n v="1072.610898293721"/>
  </r>
  <r>
    <s v="WED"/>
    <x v="179"/>
    <n v="1235.6692721015634"/>
    <n v="1073.0863911752188"/>
  </r>
  <r>
    <s v="THU"/>
    <x v="180"/>
    <n v="1207.2561980116775"/>
    <n v="1073.9429804948209"/>
  </r>
  <r>
    <s v="FRI"/>
    <x v="181"/>
    <n v="1079.5119999999999"/>
    <n v="1064.158897724157"/>
  </r>
  <r>
    <s v="SAT"/>
    <x v="182"/>
    <n v="720.26"/>
    <n v="1063.0695859828397"/>
  </r>
  <r>
    <s v="SUN"/>
    <x v="183"/>
    <n v="400.61152673060155"/>
    <n v="1073.5418030779786"/>
  </r>
  <r>
    <s v="MON"/>
    <x v="184"/>
    <n v="1208.6315161516532"/>
    <n v="1059.7797157929986"/>
  </r>
  <r>
    <s v="TUE"/>
    <x v="185"/>
    <n v="1228.9993954461588"/>
    <n v="1060.7588592929328"/>
  </r>
  <r>
    <s v="WED"/>
    <x v="186"/>
    <n v="1117.1030683009496"/>
    <n v="1065.4096734013808"/>
  </r>
  <r>
    <s v="THU"/>
    <x v="187"/>
    <n v="1157.0325525606961"/>
    <n v="1063.6686790397403"/>
  </r>
  <r>
    <s v="FRI"/>
    <x v="188"/>
    <n v="1103.750474284949"/>
    <n v="1064.334071433243"/>
  </r>
  <r>
    <s v="SAT"/>
    <x v="189"/>
    <n v="700.17225751754245"/>
    <n v="1064.6517813784646"/>
  </r>
  <r>
    <s v="SUN"/>
    <x v="190"/>
    <n v="403.28839785372122"/>
    <n v="1074.7491671773739"/>
  </r>
  <r>
    <s v="MON"/>
    <x v="191"/>
    <n v="1171.3659214850873"/>
    <n v="1064.9896387122242"/>
  </r>
  <r>
    <s v="TUE"/>
    <x v="192"/>
    <n v="1225.3920000000001"/>
    <n v="1064.1588977241568"/>
  </r>
  <r>
    <s v="WED"/>
    <x v="193"/>
    <n v="1128.8347799140765"/>
    <n v="1065.4585084469734"/>
  </r>
  <r>
    <s v="THU"/>
    <x v="194"/>
    <n v="1076.8805908581392"/>
    <n v="1066.2748397868772"/>
  </r>
  <r>
    <s v="FRI"/>
    <x v="195"/>
    <n v="1037.961"/>
    <n v="1061.929012747107"/>
  </r>
  <r>
    <s v="SAT"/>
    <x v="196"/>
    <n v="641.29275809618787"/>
    <n v="1063.3575191356902"/>
  </r>
  <r>
    <s v="SUN"/>
    <x v="197"/>
    <n v="421.30177630442461"/>
    <n v="1072.0124208867255"/>
  </r>
  <r>
    <s v="MON"/>
    <x v="198"/>
    <n v="1122.7223564955307"/>
    <n v="1067.7398632639511"/>
  </r>
  <r>
    <s v="TUE"/>
    <x v="199"/>
    <n v="1122.3767442565613"/>
    <n v="1065.7171658125103"/>
  </r>
  <r>
    <s v="WED"/>
    <x v="200"/>
    <n v="1181.3733803934815"/>
    <n v="1059.8154111838044"/>
  </r>
  <r>
    <s v="THU"/>
    <x v="201"/>
    <n v="1083.6545932997112"/>
    <n v="1064.0092011434019"/>
  </r>
  <r>
    <s v="FRI"/>
    <x v="202"/>
    <n v="958.66379150322359"/>
    <n v="1063.7834312028035"/>
  </r>
  <r>
    <s v="SAT"/>
    <x v="203"/>
    <n v="719.20912347270371"/>
    <n v="1061.0976283974355"/>
  </r>
  <r>
    <s v="SUN"/>
    <x v="204"/>
    <n v="358.64802227096413"/>
    <n v="1073.3823264158229"/>
  </r>
  <r>
    <s v="MON"/>
    <x v="205"/>
    <n v="1186.7925460502984"/>
    <n v="1063.5071511883789"/>
  </r>
  <r>
    <s v="TUE"/>
    <x v="206"/>
    <n v="1216.252"/>
    <n v="1063.5138112825302"/>
  </r>
  <r>
    <s v="WED"/>
    <x v="207"/>
    <n v="1227.1479999999999"/>
    <n v="1062.2408218079643"/>
  </r>
  <r>
    <s v="THU"/>
    <x v="208"/>
    <n v="1059.4447537675924"/>
    <n v="1062.5329568432335"/>
  </r>
  <r>
    <s v="FRI"/>
    <x v="209"/>
    <n v="1012.0200000000002"/>
    <n v="1063.38362878204"/>
  </r>
  <r>
    <s v="SAT"/>
    <x v="210"/>
    <n v="705.28372081120835"/>
    <n v="1061.59084158013"/>
  </r>
  <r>
    <s v="SUN"/>
    <x v="211"/>
    <n v="399.28715724008498"/>
    <n v="1070.7815876832935"/>
  </r>
  <r>
    <s v="MON"/>
    <x v="212"/>
    <n v="708"/>
    <n v="1074.4350282485875"/>
  </r>
  <r>
    <s v="TUE"/>
    <x v="213"/>
    <n v="1344"/>
    <n v="1080.6547619047619"/>
  </r>
  <r>
    <s v="WED"/>
    <x v="214"/>
    <n v="1324"/>
    <n v="1085.8761329305137"/>
  </r>
  <r>
    <s v="THU"/>
    <x v="215"/>
    <n v="1242"/>
    <n v="1084.7423510466988"/>
  </r>
  <r>
    <s v="FRI"/>
    <x v="216"/>
    <n v="1122"/>
    <n v="1092.2014260249555"/>
  </r>
  <r>
    <s v="SAT"/>
    <x v="217"/>
    <n v="885"/>
    <n v="1084.8870056497176"/>
  </r>
  <r>
    <s v="SUN"/>
    <x v="218"/>
    <n v="508"/>
    <n v="1095.0787401574803"/>
  </r>
  <r>
    <s v="MON"/>
    <x v="219"/>
    <n v="1386"/>
    <n v="1081.4213564213564"/>
  </r>
  <r>
    <s v="TUE"/>
    <x v="220"/>
    <n v="1354"/>
    <n v="1085.2658788774004"/>
  </r>
  <r>
    <s v="WED"/>
    <x v="221"/>
    <n v="1285"/>
    <n v="1083.3657587548639"/>
  </r>
  <r>
    <s v="THU"/>
    <x v="222"/>
    <n v="1142"/>
    <n v="1088.047285464098"/>
  </r>
  <r>
    <s v="FRI"/>
    <x v="223"/>
    <n v="1071"/>
    <n v="1093.90756302521"/>
  </r>
  <r>
    <s v="SAT"/>
    <x v="224"/>
    <n v="868"/>
    <n v="1093.4331797235022"/>
  </r>
  <r>
    <s v="SUN"/>
    <x v="225"/>
    <n v="500"/>
    <n v="1101.8"/>
  </r>
  <r>
    <s v="MON"/>
    <x v="226"/>
    <n v="1308"/>
    <n v="1084.7859327217125"/>
  </r>
  <r>
    <s v="TUE"/>
    <x v="227"/>
    <n v="1218"/>
    <n v="1090.3530377668308"/>
  </r>
  <r>
    <s v="WED"/>
    <x v="228"/>
    <n v="1121"/>
    <n v="1084.2328278322925"/>
  </r>
  <r>
    <s v="THU"/>
    <x v="229"/>
    <n v="1152"/>
    <n v="1086.8055555555557"/>
  </r>
  <r>
    <s v="FRI"/>
    <x v="230"/>
    <n v="1265"/>
    <n v="1089.0316205533597"/>
  </r>
  <r>
    <s v="SAT"/>
    <x v="231"/>
    <n v="1034"/>
    <n v="1090.9574468085107"/>
  </r>
  <r>
    <s v="SUN"/>
    <x v="232"/>
    <n v="595"/>
    <n v="1094.9159663865546"/>
  </r>
  <r>
    <s v="MON"/>
    <x v="233"/>
    <n v="1795"/>
    <n v="1090.5153203342618"/>
  </r>
  <r>
    <s v="TUE"/>
    <x v="234"/>
    <n v="1989"/>
    <n v="1087.3428858722975"/>
  </r>
  <r>
    <s v="WED"/>
    <x v="235"/>
    <n v="1661"/>
    <n v="1089.1782059000602"/>
  </r>
  <r>
    <s v="THU"/>
    <x v="236"/>
    <n v="1549"/>
    <n v="1086.4590058102001"/>
  </r>
  <r>
    <s v="FRI"/>
    <x v="237"/>
    <n v="1399"/>
    <n v="1086.9013581129377"/>
  </r>
  <r>
    <s v="SAT"/>
    <x v="238"/>
    <n v="1224"/>
    <n v="1089.2156862745098"/>
  </r>
  <r>
    <s v="SUN"/>
    <x v="239"/>
    <n v="730"/>
    <n v="1094.3150684931506"/>
  </r>
  <r>
    <s v="MON"/>
    <x v="240"/>
    <n v="1761"/>
    <n v="1081.2180579216354"/>
  </r>
  <r>
    <s v="TUE"/>
    <x v="241"/>
    <n v="1584"/>
    <n v="1085.9848484848485"/>
  </r>
  <r>
    <s v="WED"/>
    <x v="242"/>
    <n v="1579"/>
    <n v="1141.9569347688409"/>
  </r>
  <r>
    <s v="THU"/>
    <x v="243"/>
    <n v="1540"/>
    <n v="1141.9642857142858"/>
  </r>
  <r>
    <s v="FRI"/>
    <x v="244"/>
    <n v="1502"/>
    <n v="1141.9440745672437"/>
  </r>
  <r>
    <s v="SAT"/>
    <x v="245"/>
    <n v="1233"/>
    <n v="1141.9708029197079"/>
  </r>
  <r>
    <s v="SUN"/>
    <x v="246"/>
    <n v="808"/>
    <n v="1141.924504950495"/>
  </r>
  <r>
    <s v="MON"/>
    <x v="247"/>
    <n v="1444"/>
    <n v="1141.9840720221607"/>
  </r>
  <r>
    <s v="TUE"/>
    <x v="248"/>
    <n v="1406"/>
    <n v="1141.9630156472263"/>
  </r>
  <r>
    <s v="WED"/>
    <x v="249"/>
    <n v="1347"/>
    <n v="1141.9450631031923"/>
  </r>
  <r>
    <s v="THU"/>
    <x v="250"/>
    <n v="1355"/>
    <n v="1141.9741697416973"/>
  </r>
  <r>
    <s v="FRI"/>
    <x v="251"/>
    <n v="1309"/>
    <n v="1141.9213139801375"/>
  </r>
  <r>
    <s v="SAT"/>
    <x v="252"/>
    <n v="1102"/>
    <n v="1141.9691470054447"/>
  </r>
  <r>
    <s v="SUN"/>
    <x v="253"/>
    <n v="825"/>
    <n v="1141.969696969697"/>
  </r>
  <r>
    <s v="MON"/>
    <x v="254"/>
    <n v="1425"/>
    <n v="1141.9298245614036"/>
  </r>
  <r>
    <s v="TUE"/>
    <x v="255"/>
    <n v="1386"/>
    <n v="1141.9372294372295"/>
  </r>
  <r>
    <s v="WED"/>
    <x v="256"/>
    <n v="1347"/>
    <n v="1141.9450631031923"/>
  </r>
  <r>
    <s v="THU"/>
    <x v="257"/>
    <n v="1309"/>
    <n v="1141.9213139801375"/>
  </r>
  <r>
    <s v="FRI"/>
    <x v="258"/>
    <n v="1270"/>
    <n v="1141.9291338582677"/>
  </r>
  <r>
    <s v="SAT"/>
    <x v="259"/>
    <n v="1084"/>
    <n v="1141.9741697416973"/>
  </r>
  <r>
    <s v="SUN"/>
    <x v="260"/>
    <n v="626"/>
    <n v="1141.9329073482429"/>
  </r>
  <r>
    <s v="MON"/>
    <x v="261"/>
    <n v="1425"/>
    <n v="1141.9298245614036"/>
  </r>
  <r>
    <s v="TUE"/>
    <x v="262"/>
    <n v="1386"/>
    <n v="1141.9372294372295"/>
  </r>
  <r>
    <s v="WED"/>
    <x v="263"/>
    <n v="1347"/>
    <n v="1141.9450631031923"/>
  </r>
  <r>
    <s v="THU"/>
    <x v="264"/>
    <n v="1270"/>
    <n v="1141.9291338582677"/>
  </r>
  <r>
    <s v="FRI"/>
    <x v="265"/>
    <n v="1233"/>
    <n v="1141.9708029197079"/>
  </r>
  <r>
    <s v="SAT"/>
    <x v="266"/>
    <n v="872"/>
    <n v="1142.0011467889908"/>
  </r>
  <r>
    <s v="SUN"/>
    <x v="267"/>
    <n v="638"/>
    <n v="1141.9278996865203"/>
  </r>
  <r>
    <s v="MON"/>
    <x v="268"/>
    <n v="1371"/>
    <n v="1141.9401896425966"/>
  </r>
  <r>
    <s v="TUE"/>
    <x v="269"/>
    <n v="1347"/>
    <n v="1141.9450631031923"/>
  </r>
  <r>
    <s v="WED"/>
    <x v="270"/>
    <n v="1243"/>
    <n v="1141.934835076428"/>
  </r>
  <r>
    <s v="THU"/>
    <x v="271"/>
    <n v="1275"/>
    <n v="1141.9607843137255"/>
  </r>
  <r>
    <s v="FRI"/>
    <x v="272"/>
    <n v="1198"/>
    <n v="1141.9449081803004"/>
  </r>
  <r>
    <s v="SAT"/>
    <x v="273"/>
    <n v="1054.4236000000001"/>
    <n v="1156.9878841862037"/>
  </r>
  <r>
    <s v="SUN"/>
    <x v="274"/>
    <n v="713.80090369107688"/>
    <n v="1158.8454953750092"/>
  </r>
  <r>
    <s v="MON"/>
    <x v="275"/>
    <n v="1558.046526206218"/>
    <n v="1157.6294211727425"/>
  </r>
  <r>
    <s v="TUE"/>
    <x v="276"/>
    <n v="1520.5830317548198"/>
    <n v="1157.5067620522025"/>
  </r>
  <r>
    <s v="WED"/>
    <x v="277"/>
    <n v="1480.1422388139767"/>
    <n v="1157.7526670742095"/>
  </r>
  <r>
    <s v="THU"/>
    <x v="278"/>
    <n v="1381.4255301311509"/>
    <n v="1158.0872525373643"/>
  </r>
  <r>
    <s v="FRI"/>
    <x v="279"/>
    <n v="1330.4357588252112"/>
    <n v="1157.944107733043"/>
  </r>
  <r>
    <s v="SAT"/>
    <x v="280"/>
    <n v="1067.28798955814"/>
    <n v="1157.1565773386119"/>
  </r>
  <r>
    <s v="SUN"/>
    <x v="281"/>
    <n v="688.24249898223377"/>
    <n v="1158.8785524447792"/>
  </r>
  <r>
    <s v="MON"/>
    <x v="282"/>
    <n v="1667.7052960715694"/>
    <n v="1157.9667794881659"/>
  </r>
  <r>
    <s v="TUE"/>
    <x v="283"/>
    <n v="1583.4929999999999"/>
    <n v="1157.4373710524771"/>
  </r>
  <r>
    <s v="WED"/>
    <x v="284"/>
    <n v="1534.5860107957178"/>
    <n v="1157.5760090462259"/>
  </r>
  <r>
    <s v="THU"/>
    <x v="285"/>
    <n v="1431.4745087188494"/>
    <n v="1157.5539929786607"/>
  </r>
  <r>
    <s v="FRI"/>
    <x v="286"/>
    <n v="1406.6442967074283"/>
    <n v="1157.820244639646"/>
  </r>
  <r>
    <s v="SAT"/>
    <x v="287"/>
    <n v="1058.6024659024301"/>
    <n v="1156.9810514218987"/>
  </r>
  <r>
    <s v="SUN"/>
    <x v="288"/>
    <n v="681.16519282210902"/>
    <n v="1158.0715072914604"/>
  </r>
  <r>
    <s v="MON"/>
    <x v="289"/>
    <n v="1627.3117448459657"/>
    <n v="1157.8405857930406"/>
  </r>
  <r>
    <s v="TUE"/>
    <x v="290"/>
    <n v="1636.1046213998675"/>
    <n v="1157.6458769226008"/>
  </r>
  <r>
    <s v="WED"/>
    <x v="291"/>
    <n v="1585.0680134221886"/>
    <n v="1157.978644701162"/>
  </r>
  <r>
    <s v="THU"/>
    <x v="292"/>
    <n v="1465.4316839024557"/>
    <n v="1157.8814413700627"/>
  </r>
  <r>
    <s v="FRI"/>
    <x v="293"/>
    <n v="1465.6175566559464"/>
    <n v="1157.4792311611027"/>
  </r>
  <r>
    <s v="SAT"/>
    <x v="294"/>
    <n v="1138.9306681009798"/>
    <n v="1158.0893894337985"/>
  </r>
  <r>
    <s v="SUN"/>
    <x v="295"/>
    <n v="720.24659644401413"/>
    <n v="1158.6168433313433"/>
  </r>
  <r>
    <s v="MON"/>
    <x v="296"/>
    <n v="1910.9480802092025"/>
    <n v="1157.5455408877119"/>
  </r>
  <r>
    <s v="TUE"/>
    <x v="297"/>
    <n v="1803.6792060962305"/>
    <n v="1157.791432572639"/>
  </r>
  <r>
    <s v="WED"/>
    <x v="298"/>
    <n v="1747.6422349247478"/>
    <n v="1157.4335272924332"/>
  </r>
  <r>
    <s v="THU"/>
    <x v="299"/>
    <m/>
    <m/>
  </r>
  <r>
    <s v="FRI"/>
    <x v="300"/>
    <n v="1767.533805337303"/>
    <n v="1157.1780542200056"/>
  </r>
  <r>
    <s v="SAT"/>
    <x v="301"/>
    <n v="1284.7107861303953"/>
    <n v="1157.0656441255105"/>
  </r>
  <r>
    <s v="SUN"/>
    <x v="302"/>
    <n v="899.31486829048265"/>
    <n v="1158.4067015611934"/>
  </r>
  <r>
    <s v="MON"/>
    <x v="303"/>
    <n v="1885"/>
    <n v="1214.9336870026525"/>
  </r>
  <r>
    <s v="TUE"/>
    <x v="304"/>
    <n v="1799"/>
    <n v="1214.9249583101723"/>
  </r>
  <r>
    <s v="WED"/>
    <x v="305"/>
    <n v="1756"/>
    <n v="1214.9202733485195"/>
  </r>
  <r>
    <s v="THU"/>
    <x v="306"/>
    <n v="1670"/>
    <n v="1214.9101796407185"/>
  </r>
  <r>
    <s v="FRI"/>
    <x v="307"/>
    <n v="1542"/>
    <n v="1214.9805447470817"/>
  </r>
  <r>
    <s v="SAT"/>
    <x v="308"/>
    <n v="1371"/>
    <n v="1214.9161196207149"/>
  </r>
  <r>
    <s v="SUN"/>
    <x v="309"/>
    <n v="878"/>
    <n v="1214.9202733485195"/>
  </r>
  <r>
    <s v="MON"/>
    <x v="310"/>
    <n v="1699"/>
    <n v="1213.8022366097705"/>
  </r>
  <r>
    <s v="TUE"/>
    <x v="311"/>
    <n v="1628"/>
    <n v="1214.987714987715"/>
  </r>
  <r>
    <s v="WED"/>
    <x v="312"/>
    <n v="1582"/>
    <n v="1214.7281921618205"/>
  </r>
  <r>
    <s v="THU"/>
    <x v="313"/>
    <n v="1542"/>
    <n v="1214.9805447470817"/>
  </r>
  <r>
    <s v="FRI"/>
    <x v="314"/>
    <n v="1535"/>
    <n v="1216.1889250814331"/>
  </r>
  <r>
    <s v="SAT"/>
    <x v="315"/>
    <n v="1457"/>
    <n v="1214.9279341111874"/>
  </r>
  <r>
    <s v="SUN"/>
    <x v="316"/>
    <n v="933"/>
    <n v="1214.951768488746"/>
  </r>
  <r>
    <s v="MON"/>
    <x v="317"/>
    <n v="1799"/>
    <n v="1214.9249583101723"/>
  </r>
  <r>
    <s v="TUE"/>
    <x v="318"/>
    <n v="1721"/>
    <n v="1216.2405578152236"/>
  </r>
  <r>
    <s v="WED"/>
    <x v="319"/>
    <n v="1709"/>
    <n v="1214.9502633118782"/>
  </r>
  <r>
    <s v="THU"/>
    <x v="320"/>
    <n v="1692"/>
    <n v="1214.8936170212767"/>
  </r>
  <r>
    <s v="FRI"/>
    <x v="321"/>
    <n v="1585"/>
    <n v="1214.9842271293376"/>
  </r>
  <r>
    <s v="SAT"/>
    <x v="322"/>
    <n v="1071"/>
    <n v="1214.9859943977592"/>
  </r>
  <r>
    <s v="SUN"/>
    <x v="323"/>
    <n v="728"/>
    <n v="1214.8351648351647"/>
  </r>
  <r>
    <s v="MON"/>
    <x v="324"/>
    <n v="1242"/>
    <n v="1214.8953301127215"/>
  </r>
  <r>
    <s v="TUE"/>
    <x v="325"/>
    <n v="1199"/>
    <n v="1214.8874061718097"/>
  </r>
  <r>
    <s v="WED"/>
    <x v="326"/>
    <n v="643"/>
    <n v="1215.0077760497668"/>
  </r>
  <r>
    <s v="THU"/>
    <x v="327"/>
    <m/>
    <s v="-"/>
  </r>
  <r>
    <s v="FRI"/>
    <x v="328"/>
    <n v="1799"/>
    <n v="1214.9249583101723"/>
  </r>
  <r>
    <s v="SAT"/>
    <x v="329"/>
    <n v="1614"/>
    <n v="1213.816604708798"/>
  </r>
  <r>
    <s v="SUN"/>
    <x v="330"/>
    <n v="1457"/>
    <n v="1214.9279341111874"/>
  </r>
  <r>
    <s v="MON"/>
    <x v="331"/>
    <n v="1414"/>
    <n v="1214.922206506365"/>
  </r>
  <r>
    <s v="TUE"/>
    <x v="332"/>
    <n v="1242"/>
    <n v="1214.8953301127215"/>
  </r>
  <r>
    <s v="WED"/>
    <x v="333"/>
    <n v="643"/>
    <n v="1215.0077760497668"/>
  </r>
  <r>
    <s v="THU"/>
    <x v="334"/>
    <n v="588"/>
    <n v="1207.4829931972788"/>
  </r>
  <r>
    <s v="FRI"/>
    <x v="335"/>
    <n v="1894"/>
    <n v="1207.6557550158395"/>
  </r>
  <r>
    <s v="SAT"/>
    <x v="336"/>
    <n v="1494"/>
    <n v="1207.6974564926372"/>
  </r>
  <r>
    <s v="SUN"/>
    <x v="337"/>
    <n v="838"/>
    <n v="1207.7565632458234"/>
  </r>
  <r>
    <s v="MON"/>
    <x v="338"/>
    <n v="1858"/>
    <n v="1207.6964477933261"/>
  </r>
  <r>
    <s v="TUE"/>
    <x v="339"/>
    <n v="1256"/>
    <n v="1207.6433121019109"/>
  </r>
  <r>
    <s v="WED"/>
    <x v="340"/>
    <n v="1202"/>
    <n v="1207.7371048252912"/>
  </r>
  <r>
    <s v="THU"/>
    <x v="341"/>
    <n v="1238"/>
    <n v="1207.6736672051695"/>
  </r>
  <r>
    <s v="FRI"/>
    <x v="342"/>
    <n v="1202"/>
    <n v="1207.7371048252912"/>
  </r>
  <r>
    <s v="SAT"/>
    <x v="343"/>
    <n v="1057"/>
    <n v="1207.7105014191106"/>
  </r>
  <r>
    <s v="SUN"/>
    <x v="344"/>
    <n v="655"/>
    <n v="1207.7099236641222"/>
  </r>
  <r>
    <s v="MON"/>
    <x v="345"/>
    <n v="1421"/>
    <n v="1207.7058409570725"/>
  </r>
  <r>
    <s v="TUE"/>
    <x v="346"/>
    <n v="1311"/>
    <n v="1207.6659038901603"/>
  </r>
  <r>
    <s v="WED"/>
    <x v="347"/>
    <n v="1275"/>
    <n v="1207.7254901960785"/>
  </r>
  <r>
    <s v="THU"/>
    <x v="348"/>
    <n v="1256"/>
    <n v="1207.6433121019109"/>
  </r>
  <r>
    <s v="FRI"/>
    <x v="349"/>
    <n v="1238"/>
    <n v="1207.6736672051695"/>
  </r>
  <r>
    <s v="SAT"/>
    <x v="350"/>
    <n v="1057"/>
    <n v="1207.7105014191106"/>
  </r>
  <r>
    <s v="SUN"/>
    <x v="351"/>
    <n v="583"/>
    <n v="1207.6329331046313"/>
  </r>
  <r>
    <s v="MON"/>
    <x v="352"/>
    <n v="1092"/>
    <n v="1207.6923076923076"/>
  </r>
  <r>
    <s v="TUE"/>
    <x v="353"/>
    <n v="1348"/>
    <n v="1207.7151335311573"/>
  </r>
  <r>
    <s v="WED"/>
    <x v="354"/>
    <n v="1275"/>
    <n v="1207.7254901960785"/>
  </r>
  <r>
    <s v="THU"/>
    <x v="355"/>
    <n v="1275"/>
    <n v="1207.7254901960785"/>
  </r>
  <r>
    <s v="FRI"/>
    <x v="356"/>
    <n v="1283"/>
    <n v="1207.6773187840997"/>
  </r>
  <r>
    <s v="SAT"/>
    <x v="357"/>
    <n v="1165"/>
    <n v="1207.6824034334763"/>
  </r>
  <r>
    <s v="SUN"/>
    <x v="358"/>
    <n v="547"/>
    <n v="1207.7696526508228"/>
  </r>
  <r>
    <s v="MON"/>
    <x v="359"/>
    <n v="1275"/>
    <n v="1207.7254901960785"/>
  </r>
  <r>
    <s v="TUE"/>
    <x v="360"/>
    <n v="1165"/>
    <n v="1207.6824034334763"/>
  </r>
  <r>
    <s v="WED"/>
    <x v="361"/>
    <n v="1169"/>
    <n v="1207.656116338751"/>
  </r>
  <r>
    <s v="THU"/>
    <x v="362"/>
    <n v="1183"/>
    <n v="1207.6500422654269"/>
  </r>
  <r>
    <s v="FRI"/>
    <x v="363"/>
    <n v="1202"/>
    <n v="1207.7371048252912"/>
  </r>
  <r>
    <s v="SAT"/>
    <x v="364"/>
    <n v="1020"/>
    <n v="1207.6470588235295"/>
  </r>
  <r>
    <s v="SUN"/>
    <x v="365"/>
    <n v="717"/>
    <n v="1211.6457461645746"/>
  </r>
  <r>
    <s v="MON"/>
    <x v="366"/>
    <n v="1548"/>
    <n v="1211.7571059431525"/>
  </r>
  <r>
    <s v="TUE"/>
    <x v="367"/>
    <n v="1529"/>
    <n v="1211.739699149771"/>
  </r>
  <r>
    <s v="WED"/>
    <x v="368"/>
    <n v="1499"/>
    <n v="1211.3742494996663"/>
  </r>
  <r>
    <s v="THU"/>
    <x v="369"/>
    <n v="1454"/>
    <n v="1211.7606602475928"/>
  </r>
  <r>
    <s v="FRI"/>
    <x v="370"/>
    <n v="1454"/>
    <n v="1211.7606602475928"/>
  </r>
  <r>
    <s v="SAT"/>
    <x v="371"/>
    <n v="1208"/>
    <n v="1211.7549668874171"/>
  </r>
  <r>
    <s v="SUN"/>
    <x v="372"/>
    <n v="755"/>
    <n v="1211.7218543046358"/>
  </r>
  <r>
    <s v="MON"/>
    <x v="373"/>
    <n v="1548"/>
    <n v="1211.7571059431525"/>
  </r>
  <r>
    <s v="TUE"/>
    <x v="374"/>
    <n v="1495"/>
    <n v="1212.0735785953177"/>
  </r>
  <r>
    <s v="WED"/>
    <x v="375"/>
    <n v="1454"/>
    <n v="1211.7606602475928"/>
  </r>
  <r>
    <s v="THU"/>
    <x v="376"/>
    <n v="1457"/>
    <n v="1211.7707618393961"/>
  </r>
  <r>
    <s v="FRI"/>
    <x v="377"/>
    <n v="1438"/>
    <n v="1211.7524339360223"/>
  </r>
  <r>
    <s v="SAT"/>
    <x v="378"/>
    <n v="1208"/>
    <n v="1211.7549668874171"/>
  </r>
  <r>
    <s v="SUN"/>
    <x v="379"/>
    <n v="755"/>
    <n v="1211.7218543046358"/>
  </r>
  <r>
    <s v="MON"/>
    <x v="380"/>
    <n v="1548"/>
    <n v="1211.7571059431525"/>
  </r>
  <r>
    <s v="TUE"/>
    <x v="381"/>
    <n v="1529"/>
    <n v="1211.739699149771"/>
  </r>
  <r>
    <s v="WED"/>
    <x v="382"/>
    <n v="1480"/>
    <n v="1211.7567567567567"/>
  </r>
  <r>
    <s v="THU"/>
    <x v="383"/>
    <n v="1480"/>
    <n v="1211.7567567567567"/>
  </r>
  <r>
    <s v="FRI"/>
    <x v="384"/>
    <n v="1510"/>
    <n v="1211.7218543046358"/>
  </r>
  <r>
    <s v="SAT"/>
    <x v="385"/>
    <n v="1133"/>
    <n v="1211.7828773168578"/>
  </r>
  <r>
    <s v="SUN"/>
    <x v="386"/>
    <n v="755"/>
    <n v="1211.7218543046358"/>
  </r>
  <r>
    <s v="MON"/>
    <x v="387"/>
    <n v="1548"/>
    <n v="1211.7571059431525"/>
  </r>
  <r>
    <s v="TUE"/>
    <x v="388"/>
    <n v="1510"/>
    <n v="1211.7218543046358"/>
  </r>
  <r>
    <s v="WED"/>
    <x v="389"/>
    <n v="1510"/>
    <n v="1211.7218543046358"/>
  </r>
  <r>
    <s v="THU"/>
    <x v="390"/>
    <n v="1588"/>
    <n v="1211.712846347607"/>
  </r>
  <r>
    <s v="FRI"/>
    <x v="391"/>
    <n v="1510"/>
    <n v="1211.7218543046358"/>
  </r>
  <r>
    <s v="SAT"/>
    <x v="392"/>
    <n v="1133"/>
    <n v="1211.7828773168578"/>
  </r>
  <r>
    <m/>
    <x v="39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s v="SAT"/>
    <x v="0"/>
    <n v="529.69188859820758"/>
    <n v="999.29610859045567"/>
    <n v="0.15"/>
    <n v="0.75"/>
  </r>
  <r>
    <s v="SUN"/>
    <x v="1"/>
    <n v="338.66062866938603"/>
    <n v="961.27523702735868"/>
    <n v="0.15"/>
    <n v="0.75"/>
  </r>
  <r>
    <s v="MON"/>
    <x v="2"/>
    <n v="875.60854851685963"/>
    <n v="963.51593968616942"/>
    <n v="0.15"/>
    <n v="0.75"/>
  </r>
  <r>
    <s v="TUE"/>
    <x v="3"/>
    <n v="854.50258200849782"/>
    <n v="978.84903924846162"/>
    <n v="0.15"/>
    <n v="0.75"/>
  </r>
  <r>
    <s v="WED"/>
    <x v="4"/>
    <n v="779.82701108732772"/>
    <n v="944.42176257054609"/>
    <n v="0.15"/>
    <n v="0.75"/>
  </r>
  <r>
    <s v="THU"/>
    <x v="5"/>
    <n v="714.38927097805845"/>
    <n v="961.80709221521749"/>
    <n v="0.15"/>
    <n v="0.75"/>
  </r>
  <r>
    <s v="FRI"/>
    <x v="6"/>
    <n v="690.98297242592025"/>
    <n v="978.46885769782136"/>
    <n v="0.15"/>
    <n v="0.75"/>
  </r>
  <r>
    <s v="SAT"/>
    <x v="7"/>
    <n v="498.97790808657572"/>
    <n v="997.17184954924619"/>
    <n v="0.15"/>
    <n v="0.75"/>
  </r>
  <r>
    <s v="SUN"/>
    <x v="8"/>
    <n v="313.94400000000002"/>
    <n v="960.98922100756829"/>
    <n v="0.15"/>
    <n v="0.75"/>
  </r>
  <r>
    <s v="MON"/>
    <x v="9"/>
    <n v="805.75400000000002"/>
    <n v="964.58659839107224"/>
    <n v="0.15"/>
    <n v="0.75"/>
  </r>
  <r>
    <s v="TUE"/>
    <x v="10"/>
    <n v="831.7733053412785"/>
    <n v="977.39195556980474"/>
    <n v="0.15"/>
    <n v="0.75"/>
  </r>
  <r>
    <s v="WED"/>
    <x v="11"/>
    <n v="790.20951413470834"/>
    <n v="944.12295989773293"/>
    <n v="0.15"/>
    <n v="0.75"/>
  </r>
  <r>
    <s v="THU"/>
    <x v="12"/>
    <n v="743.37089263997632"/>
    <n v="961.64435909038241"/>
    <n v="0.15"/>
    <n v="0.75"/>
  </r>
  <r>
    <s v="FRI"/>
    <x v="13"/>
    <n v="795.10941650556981"/>
    <n v="978.06474327599756"/>
    <n v="0.15"/>
    <n v="0.75"/>
  </r>
  <r>
    <s v="SAT"/>
    <x v="14"/>
    <n v="532.7528514928033"/>
    <n v="1001.4545629788158"/>
    <n v="0.15"/>
    <n v="0.75"/>
  </r>
  <r>
    <s v="SUN"/>
    <x v="15"/>
    <n v="331.35544504877822"/>
    <n v="961.98816380059361"/>
    <n v="0.15"/>
    <n v="0.75"/>
  </r>
  <r>
    <s v="MON"/>
    <x v="16"/>
    <n v="857.85400000000004"/>
    <n v="963.90381113802573"/>
    <n v="0.15"/>
    <n v="0.75"/>
  </r>
  <r>
    <s v="TUE"/>
    <x v="17"/>
    <n v="822.31233632522833"/>
    <n v="976.71522018811129"/>
    <n v="0.15"/>
    <n v="0.75"/>
  </r>
  <r>
    <s v="WED"/>
    <x v="18"/>
    <n v="865.20049067484695"/>
    <n v="945.10902012641895"/>
    <n v="0.15"/>
    <n v="0.75"/>
  </r>
  <r>
    <s v="THU"/>
    <x v="19"/>
    <n v="871.34719999999993"/>
    <n v="961.46345566956552"/>
    <n v="0.15"/>
    <n v="0.75"/>
  </r>
  <r>
    <s v="FRI"/>
    <x v="20"/>
    <n v="717.96080201704694"/>
    <n v="979.02650099517848"/>
    <n v="0.15"/>
    <n v="0.75"/>
  </r>
  <r>
    <s v="SAT"/>
    <x v="21"/>
    <n v="535.16505118760051"/>
    <n v="999.81466009336748"/>
    <n v="0.15"/>
    <n v="0.75"/>
  </r>
  <r>
    <s v="SUN"/>
    <x v="22"/>
    <n v="351.17323948724652"/>
    <n v="960.88020599233653"/>
    <n v="0.15"/>
    <n v="0.75"/>
  </r>
  <r>
    <s v="MON"/>
    <x v="23"/>
    <n v="875.01599999999985"/>
    <n v="967.51079980251802"/>
    <n v="0.15"/>
    <n v="0.75"/>
  </r>
  <r>
    <s v="TUE"/>
    <x v="24"/>
    <n v="888.18990000000008"/>
    <n v="979.16375203095629"/>
    <n v="0.15"/>
    <n v="0.75"/>
  </r>
  <r>
    <s v="WED"/>
    <x v="25"/>
    <n v="867.20131588451272"/>
    <n v="945.01639787840702"/>
    <n v="0.15"/>
    <n v="0.75"/>
  </r>
  <r>
    <s v="THU"/>
    <x v="26"/>
    <n v="891.71440000000007"/>
    <n v="961.30119464258951"/>
    <n v="0.15"/>
    <n v="0.75"/>
  </r>
  <r>
    <s v="FRI"/>
    <x v="27"/>
    <n v="852.72665148597548"/>
    <n v="974.91361116799771"/>
    <n v="0.15"/>
    <n v="0.75"/>
  </r>
  <r>
    <s v="SAT"/>
    <x v="28"/>
    <n v="705.60919549227367"/>
    <n v="944.20107082639333"/>
    <n v="0.15"/>
    <n v="0.75"/>
  </r>
  <r>
    <s v="SUN"/>
    <x v="29"/>
    <n v="483.70812383089128"/>
    <n v="932.39641554236971"/>
    <n v="0.15"/>
    <n v="0.75"/>
  </r>
  <r>
    <s v="MON"/>
    <x v="30"/>
    <n v="1048.7392030030942"/>
    <n v="911.59394430482757"/>
    <n v="0.15"/>
    <n v="0.75"/>
  </r>
  <r>
    <s v="TUE"/>
    <x v="31"/>
    <n v="1091.5780768351988"/>
    <n v="904.32248230953087"/>
    <n v="0.15"/>
    <n v="0.75"/>
  </r>
  <r>
    <s v="WED"/>
    <x v="32"/>
    <n v="951.30939111323505"/>
    <n v="914.75820101569673"/>
    <n v="0.15"/>
    <n v="0.75"/>
  </r>
  <r>
    <s v="THU"/>
    <x v="33"/>
    <n v="886.11970572373798"/>
    <n v="924.5690646718266"/>
    <n v="0.15"/>
    <n v="0.75"/>
  </r>
  <r>
    <s v="FRI"/>
    <x v="34"/>
    <n v="863.99273472197274"/>
    <n v="925.80049036063986"/>
    <n v="0.15"/>
    <n v="0.75"/>
  </r>
  <r>
    <s v="SAT"/>
    <x v="35"/>
    <n v="601.63654460520183"/>
    <n v="941.0050247299979"/>
    <n v="0.15"/>
    <n v="0.75"/>
  </r>
  <r>
    <s v="SUN"/>
    <x v="36"/>
    <n v="376.2296500893404"/>
    <n v="932.66214406861741"/>
    <n v="0.15"/>
    <n v="0.75"/>
  </r>
  <r>
    <s v="MON"/>
    <x v="37"/>
    <n v="978.42578431533821"/>
    <n v="914.58304421170192"/>
    <n v="0.15"/>
    <n v="0.75"/>
  </r>
  <r>
    <s v="TUE"/>
    <x v="38"/>
    <n v="1093.0832144721944"/>
    <n v="906.51685518218937"/>
    <n v="0.15"/>
    <n v="0.75"/>
  </r>
  <r>
    <s v="WED"/>
    <x v="39"/>
    <n v="1012.0738502099412"/>
    <n v="914.98043988164409"/>
    <n v="0.15"/>
    <n v="0.75"/>
  </r>
  <r>
    <s v="THU"/>
    <x v="40"/>
    <n v="872.25768766018814"/>
    <n v="930.8241339558931"/>
    <n v="0.15"/>
    <n v="0.75"/>
  </r>
  <r>
    <s v="FRI"/>
    <x v="41"/>
    <n v="867.6132540651912"/>
    <n v="929.21541626903218"/>
    <n v="0.15"/>
    <n v="0.75"/>
  </r>
  <r>
    <s v="SAT"/>
    <x v="42"/>
    <n v="579.76911491119563"/>
    <n v="947.27955128661506"/>
    <n v="0.15"/>
    <n v="0.75"/>
  </r>
  <r>
    <s v="SUN"/>
    <x v="43"/>
    <n v="395.62843511470595"/>
    <n v="934.36100497082884"/>
    <n v="0.15"/>
    <n v="0.75"/>
  </r>
  <r>
    <s v="MON"/>
    <x v="44"/>
    <n v="925.33124894920934"/>
    <n v="912.40050243462451"/>
    <n v="0.15"/>
    <n v="0.75"/>
  </r>
  <r>
    <s v="TUE"/>
    <x v="45"/>
    <n v="941.50216485338683"/>
    <n v="911.61480583372611"/>
    <n v="0.15"/>
    <n v="0.75"/>
  </r>
  <r>
    <s v="WED"/>
    <x v="46"/>
    <n v="868.14223493153258"/>
    <n v="915.61278048510894"/>
    <n v="0.15"/>
    <n v="0.75"/>
  </r>
  <r>
    <s v="THU"/>
    <x v="47"/>
    <n v="866.79314134206209"/>
    <n v="927.85807744585998"/>
    <n v="0.15"/>
    <n v="0.75"/>
  </r>
  <r>
    <s v="FRI"/>
    <x v="48"/>
    <n v="791.810150478271"/>
    <n v="923.11098951017766"/>
    <n v="0.15"/>
    <n v="0.75"/>
  </r>
  <r>
    <s v="SAT"/>
    <x v="49"/>
    <n v="565.33465669052214"/>
    <n v="950.10464663682831"/>
    <n v="0.15"/>
    <n v="0.75"/>
  </r>
  <r>
    <s v="SUN"/>
    <x v="50"/>
    <n v="364.90917943467537"/>
    <n v="935.5581740172405"/>
    <n v="0.15"/>
    <n v="0.75"/>
  </r>
  <r>
    <s v="MON"/>
    <x v="51"/>
    <n v="855.11876407747559"/>
    <n v="912.82349890880198"/>
    <n v="0.15"/>
    <n v="0.75"/>
  </r>
  <r>
    <s v="TUE"/>
    <x v="52"/>
    <n v="853.11470162442379"/>
    <n v="904.42028879317547"/>
    <n v="0.15"/>
    <n v="0.75"/>
  </r>
  <r>
    <s v="WED"/>
    <x v="53"/>
    <n v="844.93648624135847"/>
    <n v="913.93890710556195"/>
    <n v="0.15"/>
    <n v="0.75"/>
  </r>
  <r>
    <s v="THU"/>
    <x v="54"/>
    <n v="771.01386009551561"/>
    <n v="932.76470668340278"/>
    <n v="0.15"/>
    <n v="0.75"/>
  </r>
  <r>
    <s v="FRI"/>
    <x v="55"/>
    <n v="746.46182384771771"/>
    <n v="922.49368601906303"/>
    <n v="0.15"/>
    <n v="0.75"/>
  </r>
  <r>
    <s v="SAT"/>
    <x v="56"/>
    <n v="546.36266652681513"/>
    <n v="951.40070318745518"/>
    <n v="0.15"/>
    <n v="0.75"/>
  </r>
  <r>
    <s v="SUN"/>
    <x v="57"/>
    <n v="379.24699999999996"/>
    <n v="936.19287693772139"/>
    <n v="0.15"/>
    <n v="0.75"/>
  </r>
  <r>
    <s v="MON"/>
    <x v="58"/>
    <n v="869.770977218393"/>
    <n v="916.80375177683413"/>
    <n v="0.15"/>
    <n v="0.75"/>
  </r>
  <r>
    <s v="TUE"/>
    <x v="59"/>
    <n v="1111.08"/>
    <n v="945.07333405335362"/>
    <n v="0.15"/>
    <n v="0.75"/>
  </r>
  <r>
    <s v="WED"/>
    <x v="60"/>
    <n v="1045.1659999999999"/>
    <n v="941.31617369872345"/>
    <n v="0.15"/>
    <n v="0.75"/>
  </r>
  <r>
    <s v="THU"/>
    <x v="61"/>
    <n v="1039.8959381169693"/>
    <n v="942.20267539174574"/>
    <n v="0.15"/>
    <n v="0.75"/>
  </r>
  <r>
    <s v="FRI"/>
    <x v="62"/>
    <n v="975.11310801889056"/>
    <n v="937.2953840334568"/>
    <n v="0.15"/>
    <n v="0.75"/>
  </r>
  <r>
    <s v="SAT"/>
    <x v="63"/>
    <n v="671.73347684564851"/>
    <n v="942.30762126118873"/>
    <n v="0.15"/>
    <n v="0.75"/>
  </r>
  <r>
    <s v="SUN"/>
    <x v="64"/>
    <n v="439.8664"/>
    <n v="941.26589346219669"/>
    <n v="0.15"/>
    <n v="0.75"/>
  </r>
  <r>
    <s v="MON"/>
    <x v="65"/>
    <n v="1135.7067034987217"/>
    <n v="942.08439148731497"/>
    <n v="0.15"/>
    <n v="0.75"/>
  </r>
  <r>
    <s v="TUE"/>
    <x v="66"/>
    <n v="1084.7076705829045"/>
    <n v="943.90018792975445"/>
    <n v="0.15"/>
    <n v="0.75"/>
  </r>
  <r>
    <s v="WED"/>
    <x v="67"/>
    <n v="1039.7171541411788"/>
    <n v="940.74659435254853"/>
    <n v="0.15"/>
    <n v="0.75"/>
  </r>
  <r>
    <s v="THU"/>
    <x v="68"/>
    <n v="980.48300809140039"/>
    <n v="937.19502623987387"/>
    <n v="0.15"/>
    <n v="0.75"/>
  </r>
  <r>
    <s v="FRI"/>
    <x v="69"/>
    <n v="970.45999999999992"/>
    <n v="937.57010077695122"/>
    <n v="0.15"/>
    <n v="0.75"/>
  </r>
  <r>
    <s v="SAT"/>
    <x v="70"/>
    <n v="702.56519226393698"/>
    <n v="937.48953281344257"/>
    <n v="0.15"/>
    <n v="0.75"/>
  </r>
  <r>
    <s v="SUN"/>
    <x v="71"/>
    <n v="426.37614396219698"/>
    <n v="944.83651786115058"/>
    <n v="0.15"/>
    <n v="0.75"/>
  </r>
  <r>
    <s v="MON"/>
    <x v="72"/>
    <n v="1103.3085300228993"/>
    <n v="939.67294721987037"/>
    <n v="0.15"/>
    <n v="0.75"/>
  </r>
  <r>
    <s v="TUE"/>
    <x v="73"/>
    <n v="1097.758454702162"/>
    <n v="938.2421355129859"/>
    <n v="0.15"/>
    <n v="0.75"/>
  </r>
  <r>
    <s v="WED"/>
    <x v="74"/>
    <n v="1023.2445268195776"/>
    <n v="943.53338003541967"/>
    <n v="0.15"/>
    <n v="0.75"/>
  </r>
  <r>
    <s v="THU"/>
    <x v="75"/>
    <n v="925.09189861329355"/>
    <n v="943.41310964665831"/>
    <n v="0.15"/>
    <n v="0.75"/>
  </r>
  <r>
    <s v="FRI"/>
    <x v="76"/>
    <n v="867.08078233801234"/>
    <n v="934.80050721381645"/>
    <n v="0.15"/>
    <n v="0.75"/>
  </r>
  <r>
    <s v="SAT"/>
    <x v="77"/>
    <n v="638.7739381548937"/>
    <n v="932.79991744044946"/>
    <n v="0.15"/>
    <n v="0.75"/>
  </r>
  <r>
    <s v="SUN"/>
    <x v="78"/>
    <n v="0"/>
    <n v="0"/>
    <n v="0.15"/>
    <n v="0.75"/>
  </r>
  <r>
    <s v="MON"/>
    <x v="79"/>
    <n v="1139.6741208078454"/>
    <n v="939.31255549561683"/>
    <n v="0.15"/>
    <n v="0.75"/>
  </r>
  <r>
    <s v="TUE"/>
    <x v="80"/>
    <n v="1106.6616793167884"/>
    <n v="940.38477056536203"/>
    <n v="0.15"/>
    <n v="0.75"/>
  </r>
  <r>
    <s v="WED"/>
    <x v="81"/>
    <n v="1146.0009537893548"/>
    <n v="940.49583945933432"/>
    <n v="0.15"/>
    <n v="0.75"/>
  </r>
  <r>
    <s v="THU"/>
    <x v="82"/>
    <n v="1077.2798413923681"/>
    <n v="941.78121086038391"/>
    <n v="0.15"/>
    <n v="0.75"/>
  </r>
  <r>
    <s v="FRI"/>
    <x v="83"/>
    <n v="1005.4713634391726"/>
    <n v="941.09621519106963"/>
    <n v="0.15"/>
    <n v="0.75"/>
  </r>
  <r>
    <s v="SAT"/>
    <x v="84"/>
    <n v="615.64941000823796"/>
    <n v="940.41566595649203"/>
    <n v="0.15"/>
    <n v="0.75"/>
  </r>
  <r>
    <s v="SUN"/>
    <x v="85"/>
    <n v="426.46594232449752"/>
    <n v="944.85866150155107"/>
    <n v="0.15"/>
    <n v="0.75"/>
  </r>
  <r>
    <s v="MON"/>
    <x v="86"/>
    <n v="1108.7763445740716"/>
    <n v="940.5635084472558"/>
    <n v="0.15"/>
    <n v="0.75"/>
  </r>
  <r>
    <s v="TUE"/>
    <x v="87"/>
    <n v="1174.8733799513188"/>
    <n v="937.07176442097659"/>
    <n v="0.15"/>
    <n v="0.75"/>
  </r>
  <r>
    <s v="WED"/>
    <x v="88"/>
    <n v="1171.5395945090004"/>
    <n v="938.97494774727829"/>
    <n v="0.15"/>
    <n v="0.75"/>
  </r>
  <r>
    <s v="THU"/>
    <x v="89"/>
    <n v="1185.3070662889379"/>
    <n v="1018.9220587963092"/>
    <n v="0.15"/>
    <n v="0.75"/>
  </r>
  <r>
    <s v="FRI"/>
    <x v="90"/>
    <n v="1104.7912000000001"/>
    <n v="1018.2400529620437"/>
    <n v="0.15"/>
    <n v="0.75"/>
  </r>
  <r>
    <s v="SAT"/>
    <x v="91"/>
    <n v="730.94463439736376"/>
    <n v="1019.1471741935949"/>
    <n v="0.15"/>
    <n v="0.75"/>
  </r>
  <r>
    <s v="SUN"/>
    <x v="92"/>
    <n v="474.0436948721914"/>
    <n v="1021.3847617569578"/>
    <n v="0.15"/>
    <n v="0.75"/>
  </r>
  <r>
    <s v="MON"/>
    <x v="93"/>
    <n v="1229.0308774286896"/>
    <n v="1018.2952075598317"/>
    <n v="0.15"/>
    <n v="0.75"/>
  </r>
  <r>
    <s v="TUE"/>
    <x v="94"/>
    <n v="1247.8650000000002"/>
    <n v="1018.3384019905998"/>
    <n v="0.15"/>
    <n v="0.75"/>
  </r>
  <r>
    <s v="WED"/>
    <x v="95"/>
    <n v="1171.3843955774951"/>
    <n v="1019.0497671680173"/>
    <n v="0.15"/>
    <n v="0.75"/>
  </r>
  <r>
    <s v="THU"/>
    <x v="96"/>
    <n v="1117.049926800898"/>
    <n v="1020.5369289676245"/>
    <n v="0.15"/>
    <n v="0.75"/>
  </r>
  <r>
    <s v="FRI"/>
    <x v="97"/>
    <n v="1018.1859319804813"/>
    <n v="1019.2883484078392"/>
    <n v="0.15"/>
    <n v="0.75"/>
  </r>
  <r>
    <s v="SAT"/>
    <x v="98"/>
    <n v="746.23150568619349"/>
    <n v="1019.0708243910362"/>
    <n v="0.15"/>
    <n v="0.75"/>
  </r>
  <r>
    <s v="SUN"/>
    <x v="99"/>
    <n v="394.36324741745733"/>
    <n v="1018.7791165347724"/>
    <n v="0.15"/>
    <n v="0.75"/>
  </r>
  <r>
    <s v="MON"/>
    <x v="100"/>
    <n v="1234.2641262310631"/>
    <n v="1018.7249629222986"/>
    <n v="0.15"/>
    <n v="0.75"/>
  </r>
  <r>
    <s v="TUE"/>
    <x v="101"/>
    <n v="1232.4665"/>
    <n v="1018.7060865346036"/>
    <n v="0.15"/>
    <n v="0.75"/>
  </r>
  <r>
    <s v="WED"/>
    <x v="102"/>
    <n v="1117.7537358903576"/>
    <n v="1018.2814486668582"/>
    <n v="0.15"/>
    <n v="0.75"/>
  </r>
  <r>
    <s v="THU"/>
    <x v="103"/>
    <n v="1146.6219398104647"/>
    <n v="1019.0300707760055"/>
    <n v="0.15"/>
    <n v="0.75"/>
  </r>
  <r>
    <s v="FRI"/>
    <x v="104"/>
    <n v="1025.9707457772361"/>
    <n v="1018.5377618137068"/>
    <n v="0.15"/>
    <n v="0.75"/>
  </r>
  <r>
    <s v="SAT"/>
    <x v="105"/>
    <n v="739.95384092498591"/>
    <n v="1018.6212026723002"/>
    <n v="0.15"/>
    <n v="0.75"/>
  </r>
  <r>
    <s v="SUN"/>
    <x v="106"/>
    <n v="405.93202768915273"/>
    <n v="1021.2154184713476"/>
    <n v="0.15"/>
    <n v="0.75"/>
  </r>
  <r>
    <s v="MON"/>
    <x v="107"/>
    <n v="1217.5176870553869"/>
    <n v="1019.3898622815485"/>
    <n v="0.15"/>
    <n v="0.75"/>
  </r>
  <r>
    <s v="TUE"/>
    <x v="108"/>
    <n v="1179.0134997973557"/>
    <n v="1019.3610378540393"/>
    <n v="0.15"/>
    <n v="0.75"/>
  </r>
  <r>
    <s v="WED"/>
    <x v="109"/>
    <n v="1154.225610566674"/>
    <n v="1019.7275123611413"/>
    <n v="0.15"/>
    <n v="0.75"/>
  </r>
  <r>
    <s v="THU"/>
    <x v="110"/>
    <n v="1147.6230895727454"/>
    <n v="1018.6009458976181"/>
    <n v="0.15"/>
    <n v="0.75"/>
  </r>
  <r>
    <s v="FRI"/>
    <x v="111"/>
    <n v="1047.6014096166784"/>
    <n v="1019.6705061780511"/>
    <n v="0.15"/>
    <n v="0.75"/>
  </r>
  <r>
    <s v="SAT"/>
    <x v="112"/>
    <n v="675.72823368258696"/>
    <n v="1018.475828793102"/>
    <n v="0.15"/>
    <n v="0.75"/>
  </r>
  <r>
    <s v="SUN"/>
    <x v="113"/>
    <n v="394.38996022465358"/>
    <n v="1021.1053959596011"/>
    <n v="0.15"/>
    <n v="0.75"/>
  </r>
  <r>
    <s v="MON"/>
    <x v="114"/>
    <n v="580.20449393254523"/>
    <n v="1017.0419561684403"/>
    <n v="0.15"/>
    <n v="0.75"/>
  </r>
  <r>
    <s v="TUE"/>
    <x v="115"/>
    <n v="1236.779"/>
    <n v="1017.6742975099027"/>
    <n v="0.15"/>
    <n v="0.75"/>
  </r>
  <r>
    <s v="WED"/>
    <x v="116"/>
    <n v="1211.433"/>
    <n v="1017.3862277154411"/>
    <n v="0.15"/>
    <n v="0.75"/>
  </r>
  <r>
    <s v="THU"/>
    <x v="117"/>
    <n v="1176.7470286854852"/>
    <n v="1017.2243064483586"/>
    <n v="0.15"/>
    <n v="0.75"/>
  </r>
  <r>
    <s v="FRI"/>
    <x v="118"/>
    <n v="1077.2591823432142"/>
    <n v="1018.0192708664382"/>
    <n v="0.15"/>
    <n v="0.75"/>
  </r>
  <r>
    <s v="SAT"/>
    <x v="119"/>
    <n v="779.12577103052104"/>
    <n v="1021.0281993972671"/>
    <n v="0.15"/>
    <n v="0.75"/>
  </r>
  <r>
    <s v="SUN"/>
    <x v="120"/>
    <n v="452.11613737341031"/>
    <n v="1104.6107841879607"/>
    <n v="0.15"/>
    <n v="0.75"/>
  </r>
  <r>
    <s v="MON"/>
    <x v="121"/>
    <n v="1206.1147146687697"/>
    <n v="1097.8633222016276"/>
    <n v="0.15"/>
    <n v="0.75"/>
  </r>
  <r>
    <s v="TUE"/>
    <x v="122"/>
    <n v="1229.6759999999999"/>
    <n v="1102.1500785572787"/>
    <n v="0.15"/>
    <n v="0.75"/>
  </r>
  <r>
    <s v="WED"/>
    <x v="123"/>
    <n v="1191.7053908832809"/>
    <n v="1101.4363357767975"/>
    <n v="0.15"/>
    <n v="0.75"/>
  </r>
  <r>
    <s v="THU"/>
    <x v="124"/>
    <n v="1093.9972411253584"/>
    <n v="1101.2666590578276"/>
    <n v="0.15"/>
    <n v="0.75"/>
  </r>
  <r>
    <s v="FRI"/>
    <x v="125"/>
    <n v="1044.2602835456121"/>
    <n v="1101.1747414337681"/>
    <n v="0.15"/>
    <n v="0.75"/>
  </r>
  <r>
    <s v="SAT"/>
    <x v="126"/>
    <n v="767.48797351791973"/>
    <n v="1109.0169508129657"/>
    <n v="0.15"/>
    <n v="0.75"/>
  </r>
  <r>
    <s v="SUN"/>
    <x v="127"/>
    <n v="444.30959710664257"/>
    <n v="1109.3854138454531"/>
    <n v="0.15"/>
    <n v="0.75"/>
  </r>
  <r>
    <s v="MON"/>
    <x v="128"/>
    <n v="1212.2352799369085"/>
    <n v="1098.379009389653"/>
    <n v="0.15"/>
    <n v="0.75"/>
  </r>
  <r>
    <s v="TUE"/>
    <x v="129"/>
    <n v="1195.5214411987381"/>
    <n v="1099.3546281534252"/>
    <n v="0.15"/>
    <n v="0.75"/>
  </r>
  <r>
    <s v="WED"/>
    <x v="130"/>
    <n v="1111.9192721451104"/>
    <n v="1099.5168509091018"/>
    <n v="0.15"/>
    <n v="0.75"/>
  </r>
  <r>
    <s v="THU"/>
    <x v="131"/>
    <n v="1105.7827005943382"/>
    <n v="1100.6575343013287"/>
    <n v="0.15"/>
    <n v="0.75"/>
  </r>
  <r>
    <s v="FRI"/>
    <x v="132"/>
    <n v="1026.0652492113566"/>
    <n v="1096.6932657728421"/>
    <n v="0.15"/>
    <n v="0.75"/>
  </r>
  <r>
    <s v="SAT"/>
    <x v="133"/>
    <n v="719.49576872269847"/>
    <n v="1101.4333470922238"/>
    <n v="0.15"/>
    <n v="0.75"/>
  </r>
  <r>
    <s v="SUN"/>
    <x v="134"/>
    <n v="368.50962321579266"/>
    <n v="1112.1496659982431"/>
    <n v="0.15"/>
    <n v="0.75"/>
  </r>
  <r>
    <s v="MON"/>
    <x v="135"/>
    <n v="1181.299"/>
    <n v="1102.9932303337259"/>
    <n v="0.15"/>
    <n v="0.75"/>
  </r>
  <r>
    <s v="TUE"/>
    <x v="136"/>
    <n v="1210.5770000000002"/>
    <n v="1102.9728385720196"/>
    <n v="0.15"/>
    <n v="0.75"/>
  </r>
  <r>
    <s v="WED"/>
    <x v="137"/>
    <n v="1119.6684774132491"/>
    <n v="1100.2122929653913"/>
    <n v="0.15"/>
    <n v="0.75"/>
  </r>
  <r>
    <s v="THU"/>
    <x v="138"/>
    <n v="1107.8562927760252"/>
    <n v="1101.7342766296774"/>
    <n v="0.15"/>
    <n v="0.75"/>
  </r>
  <r>
    <s v="FRI"/>
    <x v="139"/>
    <n v="1063.8353418296531"/>
    <n v="1105.7469271254424"/>
    <n v="0.15"/>
    <n v="0.75"/>
  </r>
  <r>
    <s v="SAT"/>
    <x v="140"/>
    <n v="742.4756635550533"/>
    <n v="1095.8899397804066"/>
    <n v="0.15"/>
    <n v="0.75"/>
  </r>
  <r>
    <s v="SUN"/>
    <x v="141"/>
    <n v="478.32042198337535"/>
    <n v="1104.9042415774436"/>
    <n v="0.15"/>
    <n v="0.75"/>
  </r>
  <r>
    <s v="MON"/>
    <x v="142"/>
    <n v="1163.5938016275686"/>
    <n v="1105.5417572005767"/>
    <n v="0.15"/>
    <n v="0.75"/>
  </r>
  <r>
    <s v="TUE"/>
    <x v="143"/>
    <n v="1221.7931662460569"/>
    <n v="1103.8635562507761"/>
    <n v="0.15"/>
    <n v="0.75"/>
  </r>
  <r>
    <s v="WED"/>
    <x v="144"/>
    <n v="1248.902539202661"/>
    <n v="1104.8359534839799"/>
    <n v="0.15"/>
    <n v="0.75"/>
  </r>
  <r>
    <s v="THU"/>
    <x v="145"/>
    <n v="1124.7187043533122"/>
    <n v="1105.7547015180589"/>
    <n v="0.15"/>
    <n v="0.75"/>
  </r>
  <r>
    <s v="FRI"/>
    <x v="146"/>
    <n v="1073.7243440378547"/>
    <n v="1106.2147765772836"/>
    <n v="0.15"/>
    <n v="0.75"/>
  </r>
  <r>
    <s v="SAT"/>
    <x v="147"/>
    <n v="776.9050656548543"/>
    <n v="1098.2839009344509"/>
    <n v="0.15"/>
    <n v="0.75"/>
  </r>
  <r>
    <s v="SUN"/>
    <x v="148"/>
    <n v="452.23390549074668"/>
    <n v="1100.4823432774263"/>
    <n v="0.15"/>
    <n v="0.75"/>
  </r>
  <r>
    <s v="MON"/>
    <x v="149"/>
    <n v="1142.8593558575456"/>
    <n v="1101.6784982961717"/>
    <n v="0.15"/>
    <n v="0.75"/>
  </r>
  <r>
    <s v="TUE"/>
    <x v="150"/>
    <n v="1228.29"/>
    <n v="1075.7377329458027"/>
    <n v="0.15"/>
    <n v="0.75"/>
  </r>
  <r>
    <s v="WED"/>
    <x v="151"/>
    <n v="1178.2519700998164"/>
    <n v="1074.9142804297735"/>
    <n v="0.15"/>
    <n v="0.75"/>
  </r>
  <r>
    <s v="THU"/>
    <x v="152"/>
    <n v="1136.8763579069873"/>
    <n v="1074.496859140665"/>
    <n v="0.15"/>
    <n v="0.75"/>
  </r>
  <r>
    <s v="FRI"/>
    <x v="153"/>
    <n v="312.67"/>
    <n v="1074.0733041225574"/>
    <n v="0.15"/>
    <n v="0.75"/>
  </r>
  <r>
    <s v="SAT"/>
    <x v="154"/>
    <n v="778.77814462622712"/>
    <n v="1075.6964436206283"/>
    <n v="0.15"/>
    <n v="0.75"/>
  </r>
  <r>
    <s v="SUN"/>
    <x v="155"/>
    <n v="452.51489686740342"/>
    <n v="1078.1275970471056"/>
    <n v="0.15"/>
    <n v="0.75"/>
  </r>
  <r>
    <s v="MON"/>
    <x v="156"/>
    <n v="1251.8389999999999"/>
    <n v="1072.8484653377952"/>
    <n v="0.15"/>
    <n v="0.75"/>
  </r>
  <r>
    <s v="TUE"/>
    <x v="157"/>
    <n v="1236.8874316463778"/>
    <n v="1072.4701948684926"/>
    <n v="0.15"/>
    <n v="0.75"/>
  </r>
  <r>
    <s v="WED"/>
    <x v="158"/>
    <n v="1149.8899013175242"/>
    <n v="1073.4168713097924"/>
    <n v="0.15"/>
    <n v="0.75"/>
  </r>
  <r>
    <s v="THU"/>
    <x v="159"/>
    <n v="1132.3474977573892"/>
    <n v="1074.3762293699333"/>
    <n v="0.15"/>
    <n v="0.75"/>
  </r>
  <r>
    <s v="FRI"/>
    <x v="160"/>
    <n v="1146.8429999999998"/>
    <n v="1073.6276456324013"/>
    <n v="0.15"/>
    <n v="0.75"/>
  </r>
  <r>
    <s v="SAT"/>
    <x v="161"/>
    <n v="749.71727099840132"/>
    <n v="1077.2069285182322"/>
    <n v="0.15"/>
    <n v="0.75"/>
  </r>
  <r>
    <s v="SUN"/>
    <x v="162"/>
    <n v="407.91134187083884"/>
    <n v="1077.172339731773"/>
    <n v="0.15"/>
    <n v="0.75"/>
  </r>
  <r>
    <s v="MON"/>
    <x v="163"/>
    <n v="1226.4382000000001"/>
    <n v="1074.3650189630428"/>
    <n v="0.15"/>
    <n v="0.75"/>
  </r>
  <r>
    <s v="TUE"/>
    <x v="164"/>
    <n v="1228.8948564522627"/>
    <n v="1073.2750587650546"/>
    <n v="0.15"/>
    <n v="0.75"/>
  </r>
  <r>
    <s v="WED"/>
    <x v="165"/>
    <n v="1219.413"/>
    <n v="1074.0733041225574"/>
    <n v="0.15"/>
    <n v="0.75"/>
  </r>
  <r>
    <s v="THU"/>
    <x v="166"/>
    <n v="1137.3865000000001"/>
    <n v="1072.5005308221962"/>
    <n v="0.15"/>
    <n v="0.75"/>
  </r>
  <r>
    <s v="FRI"/>
    <x v="167"/>
    <n v="1149.1270280141828"/>
    <n v="1072.9842138602969"/>
    <n v="0.15"/>
    <n v="0.75"/>
  </r>
  <r>
    <s v="SAT"/>
    <x v="168"/>
    <n v="789.73164113739142"/>
    <n v="1072.8347706807474"/>
    <n v="0.15"/>
    <n v="0.75"/>
  </r>
  <r>
    <s v="SUN"/>
    <x v="169"/>
    <n v="385.89628225165495"/>
    <n v="1078.62581890556"/>
    <n v="0.15"/>
    <n v="0.75"/>
  </r>
  <r>
    <s v="MON"/>
    <x v="170"/>
    <n v="1236.88480086239"/>
    <n v="1074.792676766097"/>
    <n v="0.15"/>
    <n v="0.75"/>
  </r>
  <r>
    <s v="TUE"/>
    <x v="171"/>
    <n v="1254.0243123827602"/>
    <n v="1074.2091186980438"/>
    <n v="0.15"/>
    <n v="0.75"/>
  </r>
  <r>
    <s v="WED"/>
    <x v="172"/>
    <n v="1218.3729948072344"/>
    <n v="1074.0298330111746"/>
    <n v="0.15"/>
    <n v="0.75"/>
  </r>
  <r>
    <s v="THU"/>
    <x v="173"/>
    <n v="1158.7967334973173"/>
    <n v="1072.7834651661624"/>
    <n v="0.15"/>
    <n v="0.75"/>
  </r>
  <r>
    <s v="FRI"/>
    <x v="174"/>
    <n v="1127.3685157674781"/>
    <n v="1071.1159346740801"/>
    <n v="0.15"/>
    <n v="0.75"/>
  </r>
  <r>
    <s v="SAT"/>
    <x v="175"/>
    <n v="673.69560938810218"/>
    <n v="1075.0608425302041"/>
    <n v="0.15"/>
    <n v="0.75"/>
  </r>
  <r>
    <s v="SUN"/>
    <x v="176"/>
    <n v="419.09766230884048"/>
    <n v="1076.2927309611075"/>
    <n v="0.15"/>
    <n v="0.75"/>
  </r>
  <r>
    <s v="MON"/>
    <x v="177"/>
    <n v="1265.3964745687672"/>
    <n v="1075.9971700533695"/>
    <n v="0.15"/>
    <n v="0.75"/>
  </r>
  <r>
    <s v="TUE"/>
    <x v="178"/>
    <n v="1170.8138857566598"/>
    <n v="1072.610898293721"/>
    <n v="0.15"/>
    <n v="0.75"/>
  </r>
  <r>
    <s v="WED"/>
    <x v="179"/>
    <n v="1235.6692721015634"/>
    <n v="1073.0863911752188"/>
    <n v="0.15"/>
    <n v="0.75"/>
  </r>
  <r>
    <s v="THU"/>
    <x v="180"/>
    <n v="1207.2561980116775"/>
    <n v="1073.9429804948209"/>
    <n v="0.15"/>
    <n v="0.75"/>
  </r>
  <r>
    <s v="FRI"/>
    <x v="181"/>
    <n v="1079.5119999999999"/>
    <n v="1064.158897724157"/>
    <n v="0.15"/>
    <n v="0.75"/>
  </r>
  <r>
    <s v="SAT"/>
    <x v="182"/>
    <n v="720.26"/>
    <n v="1063.0695859828397"/>
    <n v="0.15"/>
    <n v="0.75"/>
  </r>
  <r>
    <s v="SUN"/>
    <x v="183"/>
    <n v="400.61152673060155"/>
    <n v="1073.5418030779786"/>
    <n v="0.15"/>
    <n v="0.75"/>
  </r>
  <r>
    <s v="MON"/>
    <x v="184"/>
    <n v="1208.6315161516532"/>
    <n v="1059.7797157929986"/>
    <n v="0.15"/>
    <n v="0.75"/>
  </r>
  <r>
    <s v="TUE"/>
    <x v="185"/>
    <n v="1228.9993954461588"/>
    <n v="1060.7588592929328"/>
    <n v="0.15"/>
    <n v="0.75"/>
  </r>
  <r>
    <s v="WED"/>
    <x v="186"/>
    <n v="1117.1030683009496"/>
    <n v="1065.4096734013808"/>
    <n v="0.15"/>
    <n v="0.75"/>
  </r>
  <r>
    <s v="THU"/>
    <x v="187"/>
    <n v="1157.0325525606961"/>
    <n v="1063.6686790397403"/>
    <n v="0.15"/>
    <n v="0.75"/>
  </r>
  <r>
    <s v="FRI"/>
    <x v="188"/>
    <n v="1103.750474284949"/>
    <n v="1064.334071433243"/>
    <n v="0.15"/>
    <n v="0.75"/>
  </r>
  <r>
    <s v="SAT"/>
    <x v="189"/>
    <n v="700.17225751754245"/>
    <n v="1064.6517813784646"/>
    <n v="0.15"/>
    <n v="0.75"/>
  </r>
  <r>
    <s v="SUN"/>
    <x v="190"/>
    <n v="403.28839785372122"/>
    <n v="1074.7491671773739"/>
    <n v="0.15"/>
    <n v="0.75"/>
  </r>
  <r>
    <s v="MON"/>
    <x v="191"/>
    <n v="1171.3659214850873"/>
    <n v="1064.9896387122242"/>
    <n v="0.15"/>
    <n v="0.75"/>
  </r>
  <r>
    <s v="TUE"/>
    <x v="192"/>
    <n v="1225.3920000000001"/>
    <n v="1064.1588977241568"/>
    <n v="0.15"/>
    <n v="0.75"/>
  </r>
  <r>
    <s v="WED"/>
    <x v="193"/>
    <n v="1128.8347799140765"/>
    <n v="1065.4585084469734"/>
    <n v="0.15"/>
    <n v="0.75"/>
  </r>
  <r>
    <s v="THU"/>
    <x v="194"/>
    <n v="1076.8805908581392"/>
    <n v="1066.2748397868772"/>
    <n v="0.15"/>
    <n v="0.75"/>
  </r>
  <r>
    <s v="FRI"/>
    <x v="195"/>
    <n v="1037.961"/>
    <n v="1061.929012747107"/>
    <n v="0.15"/>
    <n v="0.75"/>
  </r>
  <r>
    <s v="SAT"/>
    <x v="196"/>
    <n v="641.29275809618787"/>
    <n v="1063.3575191356902"/>
    <n v="0.15"/>
    <n v="0.75"/>
  </r>
  <r>
    <s v="SUN"/>
    <x v="197"/>
    <n v="421.30177630442461"/>
    <n v="1072.0124208867255"/>
    <n v="0.15"/>
    <n v="0.75"/>
  </r>
  <r>
    <s v="MON"/>
    <x v="198"/>
    <n v="1122.7223564955307"/>
    <n v="1067.7398632639511"/>
    <n v="0.15"/>
    <n v="0.75"/>
  </r>
  <r>
    <s v="TUE"/>
    <x v="199"/>
    <n v="1122.3767442565613"/>
    <n v="1065.7171658125103"/>
    <n v="0.15"/>
    <n v="0.75"/>
  </r>
  <r>
    <s v="WED"/>
    <x v="200"/>
    <n v="1181.3733803934815"/>
    <n v="1059.8154111838044"/>
    <n v="0.15"/>
    <n v="0.75"/>
  </r>
  <r>
    <s v="THU"/>
    <x v="201"/>
    <n v="1083.6545932997112"/>
    <n v="1064.0092011434019"/>
    <n v="0.15"/>
    <n v="0.75"/>
  </r>
  <r>
    <s v="FRI"/>
    <x v="202"/>
    <n v="958.66379150322359"/>
    <n v="1063.7834312028035"/>
    <n v="0.15"/>
    <n v="0.75"/>
  </r>
  <r>
    <s v="SAT"/>
    <x v="203"/>
    <n v="719.20912347270371"/>
    <n v="1061.0976283974355"/>
    <n v="0.15"/>
    <n v="0.75"/>
  </r>
  <r>
    <s v="SUN"/>
    <x v="204"/>
    <n v="358.64802227096413"/>
    <n v="1073.3823264158229"/>
    <n v="0.15"/>
    <n v="0.75"/>
  </r>
  <r>
    <s v="MON"/>
    <x v="205"/>
    <n v="1186.7925460502984"/>
    <n v="1063.5071511883789"/>
    <n v="0.15"/>
    <n v="0.75"/>
  </r>
  <r>
    <s v="TUE"/>
    <x v="206"/>
    <n v="1216.252"/>
    <n v="1063.5138112825302"/>
    <n v="0.15"/>
    <n v="0.75"/>
  </r>
  <r>
    <s v="WED"/>
    <x v="207"/>
    <n v="1227.1479999999999"/>
    <n v="1062.2408218079643"/>
    <n v="0.15"/>
    <n v="0.75"/>
  </r>
  <r>
    <s v="THU"/>
    <x v="208"/>
    <n v="1059.4447537675924"/>
    <n v="1062.5329568432335"/>
    <n v="0.15"/>
    <n v="0.75"/>
  </r>
  <r>
    <s v="FRI"/>
    <x v="209"/>
    <n v="1012.0200000000002"/>
    <n v="1063.38362878204"/>
    <n v="0.15"/>
    <n v="0.75"/>
  </r>
  <r>
    <s v="SAT"/>
    <x v="210"/>
    <n v="705.28372081120835"/>
    <n v="1061.59084158013"/>
    <n v="0.15"/>
    <n v="0.75"/>
  </r>
  <r>
    <s v="SUN"/>
    <x v="211"/>
    <n v="399.28715724008498"/>
    <n v="1070.7815876832935"/>
    <n v="0.15"/>
    <n v="0.75"/>
  </r>
  <r>
    <s v="MON"/>
    <x v="212"/>
    <n v="708"/>
    <n v="1074.4350282485875"/>
    <n v="0.15"/>
    <n v="0.75"/>
  </r>
  <r>
    <s v="TUE"/>
    <x v="213"/>
    <n v="1344"/>
    <n v="1080.6547619047619"/>
    <n v="0.15"/>
    <n v="0.75"/>
  </r>
  <r>
    <s v="WED"/>
    <x v="214"/>
    <n v="1324"/>
    <n v="1085.8761329305137"/>
    <n v="0.15"/>
    <n v="0.75"/>
  </r>
  <r>
    <s v="THU"/>
    <x v="215"/>
    <n v="1242"/>
    <n v="1084.7423510466988"/>
    <n v="0.15"/>
    <n v="0.75"/>
  </r>
  <r>
    <s v="FRI"/>
    <x v="216"/>
    <n v="1122"/>
    <n v="1092.2014260249555"/>
    <n v="0.15"/>
    <n v="0.75"/>
  </r>
  <r>
    <s v="SAT"/>
    <x v="217"/>
    <n v="885"/>
    <n v="1084.8870056497176"/>
    <n v="0.15"/>
    <n v="0.75"/>
  </r>
  <r>
    <s v="SUN"/>
    <x v="218"/>
    <n v="508"/>
    <n v="1095.0787401574803"/>
    <n v="0.15"/>
    <n v="0.75"/>
  </r>
  <r>
    <s v="MON"/>
    <x v="219"/>
    <n v="1386"/>
    <n v="1081.4213564213564"/>
    <n v="0.15"/>
    <n v="0.75"/>
  </r>
  <r>
    <s v="TUE"/>
    <x v="220"/>
    <n v="1354"/>
    <n v="1085.2658788774004"/>
    <n v="0.15"/>
    <n v="0.75"/>
  </r>
  <r>
    <s v="WED"/>
    <x v="221"/>
    <n v="1285"/>
    <n v="1083.3657587548639"/>
    <n v="0.15"/>
    <n v="0.75"/>
  </r>
  <r>
    <s v="THU"/>
    <x v="222"/>
    <n v="1142"/>
    <n v="1088.047285464098"/>
    <n v="0.15"/>
    <n v="0.75"/>
  </r>
  <r>
    <s v="FRI"/>
    <x v="223"/>
    <n v="1071"/>
    <n v="1093.90756302521"/>
    <n v="0.15"/>
    <n v="0.75"/>
  </r>
  <r>
    <s v="SAT"/>
    <x v="224"/>
    <n v="868"/>
    <n v="1093.4331797235022"/>
    <n v="0.15"/>
    <n v="0.75"/>
  </r>
  <r>
    <s v="SUN"/>
    <x v="225"/>
    <n v="500"/>
    <n v="1101.8"/>
    <n v="0.15"/>
    <n v="0.75"/>
  </r>
  <r>
    <s v="MON"/>
    <x v="226"/>
    <n v="1308"/>
    <n v="1084.7859327217125"/>
    <n v="0.15"/>
    <n v="0.75"/>
  </r>
  <r>
    <s v="TUE"/>
    <x v="227"/>
    <n v="1218"/>
    <n v="1090.3530377668308"/>
    <n v="0.15"/>
    <n v="0.75"/>
  </r>
  <r>
    <s v="WED"/>
    <x v="228"/>
    <n v="1121"/>
    <n v="1084.2328278322925"/>
    <n v="0.15"/>
    <n v="0.75"/>
  </r>
  <r>
    <s v="THU"/>
    <x v="229"/>
    <n v="1152"/>
    <n v="1086.8055555555557"/>
    <n v="0.15"/>
    <n v="0.75"/>
  </r>
  <r>
    <s v="FRI"/>
    <x v="230"/>
    <n v="1265"/>
    <n v="1089.0316205533597"/>
    <n v="0.15"/>
    <n v="0.75"/>
  </r>
  <r>
    <s v="SAT"/>
    <x v="231"/>
    <n v="1034"/>
    <n v="1090.9574468085107"/>
    <n v="0.15"/>
    <n v="0.75"/>
  </r>
  <r>
    <s v="SUN"/>
    <x v="232"/>
    <n v="595"/>
    <n v="1094.9159663865546"/>
    <n v="0.15"/>
    <n v="0.75"/>
  </r>
  <r>
    <s v="MON"/>
    <x v="233"/>
    <n v="1795"/>
    <n v="1090.5153203342618"/>
    <n v="0.15"/>
    <n v="0.75"/>
  </r>
  <r>
    <s v="TUE"/>
    <x v="234"/>
    <n v="1989"/>
    <n v="1087.3428858722975"/>
    <n v="0.15"/>
    <n v="0.75"/>
  </r>
  <r>
    <s v="WED"/>
    <x v="235"/>
    <n v="1661"/>
    <n v="1089.1782059000602"/>
    <n v="0.15"/>
    <n v="0.75"/>
  </r>
  <r>
    <s v="THU"/>
    <x v="236"/>
    <n v="1549"/>
    <n v="1086.4590058102001"/>
    <n v="0.15"/>
    <n v="0.75"/>
  </r>
  <r>
    <s v="FRI"/>
    <x v="237"/>
    <n v="1399"/>
    <n v="1086.9013581129377"/>
    <n v="0.15"/>
    <n v="0.75"/>
  </r>
  <r>
    <s v="SAT"/>
    <x v="238"/>
    <n v="1224"/>
    <n v="1089.2156862745098"/>
    <n v="0.15"/>
    <n v="0.75"/>
  </r>
  <r>
    <s v="SUN"/>
    <x v="239"/>
    <n v="730"/>
    <n v="1094.3150684931506"/>
    <n v="0.15"/>
    <n v="0.75"/>
  </r>
  <r>
    <s v="MON"/>
    <x v="240"/>
    <n v="1761"/>
    <n v="1081.2180579216354"/>
    <n v="0.15"/>
    <n v="0.75"/>
  </r>
  <r>
    <s v="TUE"/>
    <x v="241"/>
    <n v="1584"/>
    <n v="1085.9848484848485"/>
    <n v="0.15"/>
    <n v="0.75"/>
  </r>
  <r>
    <s v="WED"/>
    <x v="242"/>
    <n v="1579"/>
    <n v="1141.9569347688409"/>
    <n v="0.15"/>
    <n v="0.75"/>
  </r>
  <r>
    <s v="THU"/>
    <x v="243"/>
    <n v="1540"/>
    <n v="1141.9642857142858"/>
    <n v="0.15"/>
    <n v="0.75"/>
  </r>
  <r>
    <s v="FRI"/>
    <x v="244"/>
    <n v="1502"/>
    <n v="1141.9440745672437"/>
    <n v="0.15"/>
    <n v="0.75"/>
  </r>
  <r>
    <s v="SAT"/>
    <x v="245"/>
    <n v="1233"/>
    <n v="1141.9708029197079"/>
    <n v="0.15"/>
    <n v="0.75"/>
  </r>
  <r>
    <s v="SUN"/>
    <x v="246"/>
    <n v="808"/>
    <n v="1141.924504950495"/>
    <n v="0.15"/>
    <n v="0.75"/>
  </r>
  <r>
    <s v="MON"/>
    <x v="247"/>
    <n v="1444"/>
    <n v="1141.9840720221607"/>
    <n v="0.15"/>
    <n v="0.75"/>
  </r>
  <r>
    <s v="TUE"/>
    <x v="248"/>
    <n v="1406"/>
    <n v="1141.9630156472263"/>
    <n v="0.15"/>
    <n v="0.75"/>
  </r>
  <r>
    <s v="WED"/>
    <x v="249"/>
    <n v="1347"/>
    <n v="1141.9450631031923"/>
    <n v="0.15"/>
    <n v="0.75"/>
  </r>
  <r>
    <s v="THU"/>
    <x v="250"/>
    <n v="1355"/>
    <n v="1141.9741697416973"/>
    <n v="0.15"/>
    <n v="0.75"/>
  </r>
  <r>
    <s v="FRI"/>
    <x v="251"/>
    <n v="1309"/>
    <n v="1141.9213139801375"/>
    <n v="0.15"/>
    <n v="0.75"/>
  </r>
  <r>
    <s v="SAT"/>
    <x v="252"/>
    <n v="1102"/>
    <n v="1141.9691470054447"/>
    <n v="0.15"/>
    <n v="0.75"/>
  </r>
  <r>
    <s v="SUN"/>
    <x v="253"/>
    <n v="825"/>
    <n v="1141.969696969697"/>
    <n v="0.15"/>
    <n v="0.75"/>
  </r>
  <r>
    <s v="MON"/>
    <x v="254"/>
    <n v="1425"/>
    <n v="1141.9298245614036"/>
    <n v="0.15"/>
    <n v="0.75"/>
  </r>
  <r>
    <s v="TUE"/>
    <x v="255"/>
    <n v="1386"/>
    <n v="1141.9372294372295"/>
    <n v="0.15"/>
    <n v="0.75"/>
  </r>
  <r>
    <s v="WED"/>
    <x v="256"/>
    <n v="1347"/>
    <n v="1141.9450631031923"/>
    <n v="0.15"/>
    <n v="0.75"/>
  </r>
  <r>
    <s v="THU"/>
    <x v="257"/>
    <n v="1309"/>
    <n v="1141.9213139801375"/>
    <n v="0.15"/>
    <n v="0.75"/>
  </r>
  <r>
    <s v="FRI"/>
    <x v="258"/>
    <n v="1270"/>
    <n v="1141.9291338582677"/>
    <n v="0.15"/>
    <n v="0.75"/>
  </r>
  <r>
    <s v="SAT"/>
    <x v="259"/>
    <n v="1084"/>
    <n v="1141.9741697416973"/>
    <n v="0.15"/>
    <n v="0.75"/>
  </r>
  <r>
    <s v="SUN"/>
    <x v="260"/>
    <n v="626"/>
    <n v="1141.9329073482429"/>
    <n v="0.15"/>
    <n v="0.75"/>
  </r>
  <r>
    <s v="MON"/>
    <x v="261"/>
    <n v="1425"/>
    <n v="1141.9298245614036"/>
    <n v="0.15"/>
    <n v="0.75"/>
  </r>
  <r>
    <s v="TUE"/>
    <x v="262"/>
    <n v="1386"/>
    <n v="1141.9372294372295"/>
    <n v="0.15"/>
    <n v="0.75"/>
  </r>
  <r>
    <s v="WED"/>
    <x v="263"/>
    <n v="1347"/>
    <n v="1141.9450631031923"/>
    <n v="0.15"/>
    <n v="0.75"/>
  </r>
  <r>
    <s v="THU"/>
    <x v="264"/>
    <n v="1270"/>
    <n v="1141.9291338582677"/>
    <n v="0.15"/>
    <n v="0.75"/>
  </r>
  <r>
    <s v="FRI"/>
    <x v="265"/>
    <n v="1233"/>
    <n v="1141.9708029197079"/>
    <n v="0.15"/>
    <n v="0.75"/>
  </r>
  <r>
    <s v="SAT"/>
    <x v="266"/>
    <n v="872"/>
    <n v="1142.0011467889908"/>
    <n v="0.15"/>
    <n v="0.75"/>
  </r>
  <r>
    <s v="SUN"/>
    <x v="267"/>
    <n v="638"/>
    <n v="1141.9278996865203"/>
    <n v="0.15"/>
    <n v="0.75"/>
  </r>
  <r>
    <s v="MON"/>
    <x v="268"/>
    <n v="1371"/>
    <n v="1141.9401896425966"/>
    <n v="0.15"/>
    <n v="0.75"/>
  </r>
  <r>
    <s v="TUE"/>
    <x v="269"/>
    <n v="1347"/>
    <n v="1141.9450631031923"/>
    <n v="0.15"/>
    <n v="0.75"/>
  </r>
  <r>
    <s v="WED"/>
    <x v="270"/>
    <n v="1243"/>
    <n v="1141.934835076428"/>
    <n v="0.15"/>
    <n v="0.75"/>
  </r>
  <r>
    <s v="THU"/>
    <x v="271"/>
    <n v="1275"/>
    <n v="1141.9607843137255"/>
    <n v="0.15"/>
    <n v="0.75"/>
  </r>
  <r>
    <s v="FRI"/>
    <x v="272"/>
    <n v="1198"/>
    <n v="1141.9449081803004"/>
    <n v="0.15"/>
    <n v="0.75"/>
  </r>
  <r>
    <s v="SAT"/>
    <x v="273"/>
    <n v="1054.4236000000001"/>
    <n v="1156.9878841862037"/>
    <n v="0.15"/>
    <n v="0.75"/>
  </r>
  <r>
    <s v="SUN"/>
    <x v="274"/>
    <n v="713.80090369107688"/>
    <n v="1158.8454953750092"/>
    <n v="0.15"/>
    <n v="0.75"/>
  </r>
  <r>
    <s v="MON"/>
    <x v="275"/>
    <n v="1558.046526206218"/>
    <n v="1157.6294211727425"/>
    <n v="0.15"/>
    <n v="0.75"/>
  </r>
  <r>
    <s v="TUE"/>
    <x v="276"/>
    <n v="1520.5830317548198"/>
    <n v="1157.5067620522025"/>
    <n v="0.15"/>
    <n v="0.75"/>
  </r>
  <r>
    <s v="WED"/>
    <x v="277"/>
    <n v="1480.1422388139767"/>
    <n v="1157.7526670742095"/>
    <n v="0.15"/>
    <n v="0.75"/>
  </r>
  <r>
    <s v="THU"/>
    <x v="278"/>
    <n v="1381.4255301311509"/>
    <n v="1158.0872525373643"/>
    <n v="0.15"/>
    <n v="0.75"/>
  </r>
  <r>
    <s v="FRI"/>
    <x v="279"/>
    <n v="1330.4357588252112"/>
    <n v="1157.944107733043"/>
    <n v="0.15"/>
    <n v="0.75"/>
  </r>
  <r>
    <s v="SAT"/>
    <x v="280"/>
    <n v="1067.28798955814"/>
    <n v="1157.1565773386119"/>
    <n v="0.15"/>
    <n v="0.75"/>
  </r>
  <r>
    <s v="SUN"/>
    <x v="281"/>
    <n v="688.24249898223377"/>
    <n v="1158.8785524447792"/>
    <n v="0.15"/>
    <n v="0.75"/>
  </r>
  <r>
    <s v="MON"/>
    <x v="282"/>
    <n v="1667.7052960715694"/>
    <n v="1157.9667794881659"/>
    <n v="0.15"/>
    <n v="0.75"/>
  </r>
  <r>
    <s v="TUE"/>
    <x v="283"/>
    <n v="1583.4929999999999"/>
    <n v="1157.4373710524771"/>
    <n v="0.15"/>
    <n v="0.75"/>
  </r>
  <r>
    <s v="WED"/>
    <x v="284"/>
    <n v="1534.5860107957178"/>
    <n v="1157.5760090462259"/>
    <n v="0.15"/>
    <n v="0.75"/>
  </r>
  <r>
    <s v="THU"/>
    <x v="285"/>
    <n v="1431.4745087188494"/>
    <n v="1157.5539929786607"/>
    <n v="0.15"/>
    <n v="0.75"/>
  </r>
  <r>
    <s v="FRI"/>
    <x v="286"/>
    <n v="1406.6442967074283"/>
    <n v="1157.820244639646"/>
    <n v="0.15"/>
    <n v="0.75"/>
  </r>
  <r>
    <s v="SAT"/>
    <x v="287"/>
    <n v="1058.6024659024301"/>
    <n v="1156.9810514218987"/>
    <n v="0.15"/>
    <n v="0.75"/>
  </r>
  <r>
    <s v="SUN"/>
    <x v="288"/>
    <n v="681.16519282210902"/>
    <n v="1158.0715072914604"/>
    <n v="0.15"/>
    <n v="0.75"/>
  </r>
  <r>
    <s v="MON"/>
    <x v="289"/>
    <n v="1627.3117448459657"/>
    <n v="1157.8405857930406"/>
    <n v="0.15"/>
    <n v="0.75"/>
  </r>
  <r>
    <s v="TUE"/>
    <x v="290"/>
    <n v="1636.1046213998675"/>
    <n v="1157.6458769226008"/>
    <n v="0.15"/>
    <n v="0.75"/>
  </r>
  <r>
    <s v="WED"/>
    <x v="291"/>
    <n v="1585.0680134221886"/>
    <n v="1157.978644701162"/>
    <n v="0.15"/>
    <n v="0.75"/>
  </r>
  <r>
    <s v="THU"/>
    <x v="292"/>
    <n v="1465.4316839024557"/>
    <n v="1157.8814413700627"/>
    <n v="0.15"/>
    <n v="0.75"/>
  </r>
  <r>
    <s v="FRI"/>
    <x v="293"/>
    <n v="1465.6175566559464"/>
    <n v="1157.4792311611027"/>
    <n v="0.15"/>
    <n v="0.75"/>
  </r>
  <r>
    <s v="SAT"/>
    <x v="294"/>
    <n v="1138.9306681009798"/>
    <n v="1158.0893894337985"/>
    <n v="0.15"/>
    <n v="0.75"/>
  </r>
  <r>
    <s v="SUN"/>
    <x v="295"/>
    <n v="720.24659644401413"/>
    <n v="1158.6168433313433"/>
    <n v="0.15"/>
    <n v="0.75"/>
  </r>
  <r>
    <s v="MON"/>
    <x v="296"/>
    <n v="1910.9480802092025"/>
    <n v="1157.5455408877119"/>
    <n v="0.15"/>
    <n v="0.75"/>
  </r>
  <r>
    <s v="TUE"/>
    <x v="297"/>
    <n v="1803.6792060962305"/>
    <n v="1157.791432572639"/>
    <n v="0.15"/>
    <n v="0.75"/>
  </r>
  <r>
    <s v="WED"/>
    <x v="298"/>
    <n v="1747.6422349247478"/>
    <n v="1157.4335272924332"/>
    <n v="0.15"/>
    <n v="0.75"/>
  </r>
  <r>
    <s v="THU"/>
    <x v="299"/>
    <m/>
    <m/>
    <n v="0.15"/>
    <n v="0.75"/>
  </r>
  <r>
    <s v="FRI"/>
    <x v="300"/>
    <n v="1767.533805337303"/>
    <n v="1157.1780542200056"/>
    <n v="0.15"/>
    <n v="0.75"/>
  </r>
  <r>
    <s v="SAT"/>
    <x v="301"/>
    <n v="1284.7107861303953"/>
    <n v="1157.0656441255105"/>
    <n v="0.15"/>
    <n v="0.75"/>
  </r>
  <r>
    <s v="SUN"/>
    <x v="302"/>
    <n v="899.31486829048265"/>
    <n v="1158.4067015611934"/>
    <n v="0.15"/>
    <n v="0.75"/>
  </r>
  <r>
    <s v="MON"/>
    <x v="303"/>
    <n v="1885"/>
    <n v="1214.9336870026525"/>
    <n v="0.15"/>
    <n v="0.75"/>
  </r>
  <r>
    <s v="TUE"/>
    <x v="304"/>
    <n v="1799"/>
    <n v="1214.9249583101723"/>
    <n v="0.15"/>
    <n v="0.75"/>
  </r>
  <r>
    <s v="WED"/>
    <x v="305"/>
    <n v="1756"/>
    <n v="1214.9202733485195"/>
    <n v="0.15"/>
    <n v="0.75"/>
  </r>
  <r>
    <s v="THU"/>
    <x v="306"/>
    <n v="1670"/>
    <n v="1214.9101796407185"/>
    <n v="0.15"/>
    <n v="0.75"/>
  </r>
  <r>
    <s v="FRI"/>
    <x v="307"/>
    <n v="1542"/>
    <n v="1214.9805447470817"/>
    <n v="0.15"/>
    <n v="0.75"/>
  </r>
  <r>
    <s v="SAT"/>
    <x v="308"/>
    <n v="1371"/>
    <n v="1214.9161196207149"/>
    <n v="0.15"/>
    <n v="0.75"/>
  </r>
  <r>
    <s v="SUN"/>
    <x v="309"/>
    <n v="878"/>
    <n v="1214.9202733485195"/>
    <n v="0.15"/>
    <n v="0.75"/>
  </r>
  <r>
    <s v="MON"/>
    <x v="310"/>
    <n v="1699"/>
    <n v="1213.8022366097705"/>
    <n v="0.15"/>
    <n v="0.75"/>
  </r>
  <r>
    <s v="TUE"/>
    <x v="311"/>
    <n v="1628"/>
    <n v="1214.987714987715"/>
    <n v="0.15"/>
    <n v="0.75"/>
  </r>
  <r>
    <s v="WED"/>
    <x v="312"/>
    <n v="1582"/>
    <n v="1214.7281921618205"/>
    <n v="0.15"/>
    <n v="0.75"/>
  </r>
  <r>
    <s v="THU"/>
    <x v="313"/>
    <n v="1542"/>
    <n v="1214.9805447470817"/>
    <n v="0.15"/>
    <n v="0.75"/>
  </r>
  <r>
    <s v="FRI"/>
    <x v="314"/>
    <n v="1535"/>
    <n v="1216.1889250814331"/>
    <n v="0.15"/>
    <n v="0.75"/>
  </r>
  <r>
    <s v="SAT"/>
    <x v="315"/>
    <n v="1457"/>
    <n v="1214.9279341111874"/>
    <n v="0.15"/>
    <n v="0.75"/>
  </r>
  <r>
    <s v="SUN"/>
    <x v="316"/>
    <n v="933"/>
    <n v="1214.951768488746"/>
    <n v="0.15"/>
    <n v="0.75"/>
  </r>
  <r>
    <s v="MON"/>
    <x v="317"/>
    <n v="1799"/>
    <n v="1214.9249583101723"/>
    <n v="0.15"/>
    <n v="0.75"/>
  </r>
  <r>
    <s v="TUE"/>
    <x v="318"/>
    <n v="1721"/>
    <n v="1216.2405578152236"/>
    <n v="0.15"/>
    <n v="0.75"/>
  </r>
  <r>
    <s v="WED"/>
    <x v="319"/>
    <n v="1709"/>
    <n v="1214.9502633118782"/>
    <n v="0.15"/>
    <n v="0.75"/>
  </r>
  <r>
    <s v="THU"/>
    <x v="320"/>
    <n v="1692"/>
    <n v="1214.8936170212767"/>
    <n v="0.15"/>
    <n v="0.75"/>
  </r>
  <r>
    <s v="FRI"/>
    <x v="321"/>
    <n v="1585"/>
    <n v="1214.9842271293376"/>
    <n v="0.15"/>
    <n v="0.75"/>
  </r>
  <r>
    <s v="SAT"/>
    <x v="322"/>
    <n v="1071"/>
    <n v="1214.9859943977592"/>
    <n v="0.15"/>
    <n v="0.75"/>
  </r>
  <r>
    <s v="SUN"/>
    <x v="323"/>
    <n v="728"/>
    <n v="1214.8351648351647"/>
    <n v="0.15"/>
    <n v="0.75"/>
  </r>
  <r>
    <s v="MON"/>
    <x v="324"/>
    <n v="1242"/>
    <n v="1214.8953301127215"/>
    <n v="0.15"/>
    <n v="0.75"/>
  </r>
  <r>
    <s v="TUE"/>
    <x v="325"/>
    <n v="1199"/>
    <n v="1214.8874061718097"/>
    <n v="0.15"/>
    <n v="0.75"/>
  </r>
  <r>
    <s v="WED"/>
    <x v="326"/>
    <n v="643"/>
    <n v="1215.0077760497668"/>
    <n v="0.15"/>
    <n v="0.75"/>
  </r>
  <r>
    <s v="THU"/>
    <x v="327"/>
    <m/>
    <s v="-"/>
    <n v="0.15"/>
    <n v="0.75"/>
  </r>
  <r>
    <s v="FRI"/>
    <x v="328"/>
    <n v="1799"/>
    <n v="1214.9249583101723"/>
    <n v="0.15"/>
    <n v="0.75"/>
  </r>
  <r>
    <s v="SAT"/>
    <x v="329"/>
    <n v="1614"/>
    <n v="1213.816604708798"/>
    <n v="0.15"/>
    <n v="0.75"/>
  </r>
  <r>
    <s v="SUN"/>
    <x v="330"/>
    <n v="1457"/>
    <n v="1214.9279341111874"/>
    <n v="0.15"/>
    <n v="0.75"/>
  </r>
  <r>
    <s v="MON"/>
    <x v="331"/>
    <n v="1414"/>
    <n v="1214.922206506365"/>
    <n v="0.15"/>
    <n v="0.75"/>
  </r>
  <r>
    <s v="TUE"/>
    <x v="332"/>
    <n v="1242"/>
    <n v="1214.8953301127215"/>
    <n v="0.15"/>
    <n v="0.75"/>
  </r>
  <r>
    <s v="WED"/>
    <x v="333"/>
    <n v="643"/>
    <n v="1215.0077760497668"/>
    <n v="0.15"/>
    <n v="0.75"/>
  </r>
  <r>
    <s v="THU"/>
    <x v="334"/>
    <n v="588"/>
    <n v="1207.4829931972788"/>
    <n v="0.15"/>
    <n v="0.75"/>
  </r>
  <r>
    <s v="FRI"/>
    <x v="335"/>
    <n v="1894"/>
    <n v="1207.6557550158395"/>
    <n v="0.15"/>
    <n v="0.75"/>
  </r>
  <r>
    <s v="SAT"/>
    <x v="336"/>
    <n v="1494"/>
    <n v="1207.6974564926372"/>
    <n v="0.15"/>
    <n v="0.75"/>
  </r>
  <r>
    <s v="SUN"/>
    <x v="337"/>
    <n v="838"/>
    <n v="1207.7565632458234"/>
    <n v="0.15"/>
    <n v="0.75"/>
  </r>
  <r>
    <s v="MON"/>
    <x v="338"/>
    <n v="1858"/>
    <n v="1207.6964477933261"/>
    <n v="0.15"/>
    <n v="0.75"/>
  </r>
  <r>
    <s v="TUE"/>
    <x v="339"/>
    <n v="1256"/>
    <n v="1207.6433121019109"/>
    <n v="0.15"/>
    <n v="0.75"/>
  </r>
  <r>
    <s v="WED"/>
    <x v="340"/>
    <n v="1202"/>
    <n v="1207.7371048252912"/>
    <n v="0.15"/>
    <n v="0.75"/>
  </r>
  <r>
    <s v="THU"/>
    <x v="341"/>
    <n v="1238"/>
    <n v="1207.6736672051695"/>
    <n v="0.15"/>
    <n v="0.75"/>
  </r>
  <r>
    <s v="FRI"/>
    <x v="342"/>
    <n v="1202"/>
    <n v="1207.7371048252912"/>
    <n v="0.15"/>
    <n v="0.75"/>
  </r>
  <r>
    <s v="SAT"/>
    <x v="343"/>
    <n v="1057"/>
    <n v="1207.7105014191106"/>
    <n v="0.15"/>
    <n v="0.75"/>
  </r>
  <r>
    <s v="SUN"/>
    <x v="344"/>
    <n v="655"/>
    <n v="1207.7099236641222"/>
    <n v="0.15"/>
    <n v="0.75"/>
  </r>
  <r>
    <s v="MON"/>
    <x v="345"/>
    <n v="1421"/>
    <n v="1207.7058409570725"/>
    <n v="0.15"/>
    <n v="0.75"/>
  </r>
  <r>
    <s v="TUE"/>
    <x v="346"/>
    <n v="1311"/>
    <n v="1207.6659038901603"/>
    <n v="0.15"/>
    <n v="0.75"/>
  </r>
  <r>
    <s v="WED"/>
    <x v="347"/>
    <n v="1275"/>
    <n v="1207.7254901960785"/>
    <n v="0.15"/>
    <n v="0.75"/>
  </r>
  <r>
    <s v="THU"/>
    <x v="348"/>
    <n v="1256"/>
    <n v="1207.6433121019109"/>
    <n v="0.15"/>
    <n v="0.75"/>
  </r>
  <r>
    <s v="FRI"/>
    <x v="349"/>
    <n v="1238"/>
    <n v="1207.6736672051695"/>
    <n v="0.15"/>
    <n v="0.75"/>
  </r>
  <r>
    <s v="SAT"/>
    <x v="350"/>
    <n v="1057"/>
    <n v="1207.7105014191106"/>
    <n v="0.15"/>
    <n v="0.75"/>
  </r>
  <r>
    <s v="SUN"/>
    <x v="351"/>
    <n v="583"/>
    <n v="1207.6329331046313"/>
    <n v="0.15"/>
    <n v="0.75"/>
  </r>
  <r>
    <s v="MON"/>
    <x v="352"/>
    <n v="1092"/>
    <n v="1207.6923076923076"/>
    <n v="0.15"/>
    <n v="0.75"/>
  </r>
  <r>
    <s v="TUE"/>
    <x v="353"/>
    <n v="1348"/>
    <n v="1207.7151335311573"/>
    <n v="0.15"/>
    <n v="0.75"/>
  </r>
  <r>
    <s v="WED"/>
    <x v="354"/>
    <n v="1275"/>
    <n v="1207.7254901960785"/>
    <n v="0.15"/>
    <n v="0.75"/>
  </r>
  <r>
    <s v="THU"/>
    <x v="355"/>
    <n v="1275"/>
    <n v="1207.7254901960785"/>
    <n v="0.15"/>
    <n v="0.75"/>
  </r>
  <r>
    <s v="FRI"/>
    <x v="356"/>
    <n v="1283"/>
    <n v="1207.6773187840997"/>
    <n v="0.15"/>
    <n v="0.75"/>
  </r>
  <r>
    <s v="SAT"/>
    <x v="357"/>
    <n v="1165"/>
    <n v="1207.6824034334763"/>
    <n v="0.15"/>
    <n v="0.75"/>
  </r>
  <r>
    <s v="SUN"/>
    <x v="358"/>
    <n v="547"/>
    <n v="1207.7696526508228"/>
    <n v="0.15"/>
    <n v="0.75"/>
  </r>
  <r>
    <s v="MON"/>
    <x v="359"/>
    <n v="1275"/>
    <n v="1207.7254901960785"/>
    <n v="0.15"/>
    <n v="0.75"/>
  </r>
  <r>
    <s v="TUE"/>
    <x v="360"/>
    <n v="1165"/>
    <n v="1207.6824034334763"/>
    <n v="0.15"/>
    <n v="0.75"/>
  </r>
  <r>
    <s v="WED"/>
    <x v="361"/>
    <n v="1169"/>
    <n v="1207.656116338751"/>
    <n v="0.15"/>
    <n v="0.75"/>
  </r>
  <r>
    <s v="THU"/>
    <x v="362"/>
    <n v="1183"/>
    <n v="1207.6500422654269"/>
    <n v="0.15"/>
    <n v="0.75"/>
  </r>
  <r>
    <s v="FRI"/>
    <x v="363"/>
    <n v="1202"/>
    <n v="1207.7371048252912"/>
    <n v="0.15"/>
    <n v="0.75"/>
  </r>
  <r>
    <s v="SAT"/>
    <x v="364"/>
    <n v="1020"/>
    <n v="1207.6470588235295"/>
    <n v="0.15"/>
    <n v="0.75"/>
  </r>
  <r>
    <s v="SUN"/>
    <x v="365"/>
    <n v="717"/>
    <n v="1211.6457461645746"/>
    <n v="0.15"/>
    <n v="0.75"/>
  </r>
  <r>
    <s v="MON"/>
    <x v="366"/>
    <n v="1548"/>
    <n v="1211.7571059431525"/>
    <n v="0.15"/>
    <n v="0.75"/>
  </r>
  <r>
    <s v="TUE"/>
    <x v="367"/>
    <n v="1529"/>
    <n v="1211.739699149771"/>
    <n v="0.15"/>
    <n v="0.75"/>
  </r>
  <r>
    <s v="WED"/>
    <x v="368"/>
    <n v="1499"/>
    <n v="1211.3742494996663"/>
    <n v="0.15"/>
    <n v="0.75"/>
  </r>
  <r>
    <s v="THU"/>
    <x v="369"/>
    <n v="1454"/>
    <n v="1211.7606602475928"/>
    <n v="0.15"/>
    <n v="0.75"/>
  </r>
  <r>
    <s v="FRI"/>
    <x v="370"/>
    <n v="1454"/>
    <n v="1211.7606602475928"/>
    <n v="0.15"/>
    <n v="0.75"/>
  </r>
  <r>
    <s v="SAT"/>
    <x v="371"/>
    <n v="1208"/>
    <n v="1211.7549668874171"/>
    <n v="0.15"/>
    <n v="0.75"/>
  </r>
  <r>
    <s v="SUN"/>
    <x v="372"/>
    <n v="755"/>
    <n v="1211.7218543046358"/>
    <n v="0.15"/>
    <n v="0.75"/>
  </r>
  <r>
    <s v="MON"/>
    <x v="373"/>
    <n v="1548"/>
    <n v="1211.7571059431525"/>
    <n v="0.15"/>
    <n v="0.75"/>
  </r>
  <r>
    <s v="TUE"/>
    <x v="374"/>
    <n v="1495"/>
    <n v="1212.0735785953177"/>
    <n v="0.15"/>
    <n v="0.75"/>
  </r>
  <r>
    <s v="WED"/>
    <x v="375"/>
    <n v="1454"/>
    <n v="1211.7606602475928"/>
    <n v="0.15"/>
    <n v="0.75"/>
  </r>
  <r>
    <s v="THU"/>
    <x v="376"/>
    <n v="1457"/>
    <n v="1211.7707618393961"/>
    <n v="0.15"/>
    <n v="0.75"/>
  </r>
  <r>
    <s v="FRI"/>
    <x v="377"/>
    <n v="1438"/>
    <n v="1211.7524339360223"/>
    <n v="0.15"/>
    <n v="0.75"/>
  </r>
  <r>
    <s v="SAT"/>
    <x v="378"/>
    <n v="1208"/>
    <n v="1211.7549668874171"/>
    <n v="0.15"/>
    <n v="0.75"/>
  </r>
  <r>
    <s v="SUN"/>
    <x v="379"/>
    <n v="755"/>
    <n v="1211.7218543046358"/>
    <n v="0.15"/>
    <n v="0.75"/>
  </r>
  <r>
    <s v="MON"/>
    <x v="380"/>
    <n v="1548"/>
    <n v="1211.7571059431525"/>
    <n v="0.15"/>
    <n v="0.75"/>
  </r>
  <r>
    <s v="TUE"/>
    <x v="381"/>
    <n v="1529"/>
    <n v="1211.739699149771"/>
    <n v="0.15"/>
    <n v="0.75"/>
  </r>
  <r>
    <s v="WED"/>
    <x v="382"/>
    <n v="1480"/>
    <n v="1211.7567567567567"/>
    <n v="0.15"/>
    <n v="0.75"/>
  </r>
  <r>
    <s v="THU"/>
    <x v="383"/>
    <n v="1480"/>
    <n v="1211.7567567567567"/>
    <n v="0.15"/>
    <n v="0.75"/>
  </r>
  <r>
    <s v="FRI"/>
    <x v="384"/>
    <n v="1510"/>
    <n v="1211.7218543046358"/>
    <n v="0.15"/>
    <n v="0.75"/>
  </r>
  <r>
    <s v="SAT"/>
    <x v="385"/>
    <n v="1133"/>
    <n v="1211.7828773168578"/>
    <n v="0.15"/>
    <n v="0.75"/>
  </r>
  <r>
    <s v="SUN"/>
    <x v="386"/>
    <n v="755"/>
    <n v="1211.7218543046358"/>
    <n v="0.15"/>
    <n v="0.75"/>
  </r>
  <r>
    <s v="MON"/>
    <x v="387"/>
    <n v="1548"/>
    <n v="1211.7571059431525"/>
    <n v="0.15"/>
    <n v="0.75"/>
  </r>
  <r>
    <s v="TUE"/>
    <x v="388"/>
    <n v="1510"/>
    <n v="1211.7218543046358"/>
    <n v="0.15"/>
    <n v="0.75"/>
  </r>
  <r>
    <s v="WED"/>
    <x v="389"/>
    <n v="1510"/>
    <n v="1211.7218543046358"/>
    <n v="0.15"/>
    <n v="0.75"/>
  </r>
  <r>
    <s v="THU"/>
    <x v="390"/>
    <n v="1588"/>
    <n v="1211.712846347607"/>
    <n v="0.15"/>
    <n v="0.75"/>
  </r>
  <r>
    <s v="FRI"/>
    <x v="391"/>
    <n v="1510"/>
    <n v="1211.7218543046358"/>
    <n v="0.15"/>
    <n v="0.75"/>
  </r>
  <r>
    <s v="SAT"/>
    <x v="392"/>
    <n v="1133"/>
    <n v="1211.7828773168578"/>
    <n v="0.15"/>
    <n v="0.75"/>
  </r>
  <r>
    <m/>
    <x v="39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ADA8E-83AF-4ABE-876A-BF5835233E12}" name="PivotTable1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T13" firstHeaderRow="1" firstDataRow="1" firstDataCol="1"/>
  <pivotFields count="6">
    <pivotField showAll="0"/>
    <pivotField axis="axisRow" showAll="0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8">
    <i>
      <x v="303"/>
    </i>
    <i>
      <x v="304"/>
    </i>
    <i>
      <x v="305"/>
    </i>
    <i>
      <x v="306"/>
    </i>
    <i>
      <x v="307"/>
    </i>
    <i>
      <x v="308"/>
    </i>
    <i>
      <x v="309"/>
    </i>
    <i t="grand">
      <x/>
    </i>
  </rowItems>
  <colItems count="1">
    <i/>
  </colItems>
  <dataFields count="1">
    <dataField name="Sum of Forecast" fld="2" baseField="1" baseItem="0" numFmtId="1"/>
  </dataFields>
  <pivotTableStyleInfo name="PivotStyleLight16" showRowHeaders="1" showColHeaders="1" showRowStripes="0" showColStripes="0" showLastColumn="1"/>
  <filters count="1">
    <filter fld="1" type="dateBetween" evalOrder="-1" id="2">
      <autoFilter ref="A1">
        <filterColumn colId="0">
          <customFilters and="1">
            <customFilter operator="greaterThanOrEqual" val="45992"/>
            <customFilter operator="lessThanOrEqual" val="4599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0886A-8D87-4E55-8A1B-E4CD65AB6F23}" name="PivotTable1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U13" firstHeaderRow="1" firstDataRow="1" firstDataCol="1"/>
  <pivotFields count="7">
    <pivotField showAll="0"/>
    <pivotField axis="axisRow" showAll="0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8">
    <i>
      <x v="303"/>
    </i>
    <i>
      <x v="304"/>
    </i>
    <i>
      <x v="305"/>
    </i>
    <i>
      <x v="306"/>
    </i>
    <i>
      <x v="307"/>
    </i>
    <i>
      <x v="308"/>
    </i>
    <i>
      <x v="309"/>
    </i>
    <i t="grand">
      <x/>
    </i>
  </rowItems>
  <colItems count="1">
    <i/>
  </colItems>
  <dataFields count="1">
    <dataField name="Average of AHT" fld="3" subtotal="average" baseField="1" baseItem="303" numFmtId="2"/>
  </dataFields>
  <pivotTableStyleInfo name="PivotStyleLight16" showRowHeaders="1" showColHeaders="1" showRowStripes="0" showColStripes="0" showLastColumn="1"/>
  <filters count="1">
    <filter fld="1" type="dateBetween" evalOrder="-1" id="2">
      <autoFilter ref="A1">
        <filterColumn colId="0">
          <customFilters and="1">
            <customFilter operator="greaterThanOrEqual" val="45992"/>
            <customFilter operator="lessThanOrEqual" val="4599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2E25C-15D4-43CB-A3A6-A1F39B9AF00A}" name="PivotTable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U13" firstHeaderRow="1" firstDataRow="1" firstDataCol="1"/>
  <pivotFields count="9">
    <pivotField showAll="0"/>
    <pivotField axis="axisRow" showAll="0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8">
    <i>
      <x v="303"/>
    </i>
    <i>
      <x v="304"/>
    </i>
    <i>
      <x v="305"/>
    </i>
    <i>
      <x v="306"/>
    </i>
    <i>
      <x v="307"/>
    </i>
    <i>
      <x v="308"/>
    </i>
    <i>
      <x v="309"/>
    </i>
    <i t="grand">
      <x/>
    </i>
  </rowItems>
  <colItems count="1">
    <i/>
  </colItems>
  <dataFields count="1">
    <dataField name="Average of Shrinkage%" fld="4" subtotal="average" baseField="1" baseItem="303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dateBetween" evalOrder="-1" id="2">
      <autoFilter ref="A1">
        <filterColumn colId="0">
          <customFilters and="1">
            <customFilter operator="greaterThanOrEqual" val="45992"/>
            <customFilter operator="lessThanOrEqual" val="4599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23BE-2F43-462A-B042-94B5FDC8683D}">
  <dimension ref="A1:F394"/>
  <sheetViews>
    <sheetView showGridLines="0" tabSelected="1" topLeftCell="A301" workbookViewId="0">
      <selection activeCell="C335" sqref="C305:C335"/>
    </sheetView>
  </sheetViews>
  <sheetFormatPr defaultRowHeight="14.4" x14ac:dyDescent="0.3"/>
  <cols>
    <col min="2" max="2" width="10.33203125" style="3" bestFit="1" customWidth="1"/>
    <col min="3" max="3" width="8.88671875" style="5"/>
    <col min="5" max="5" width="13.21875" customWidth="1"/>
    <col min="6" max="6" width="12.77734375" customWidth="1"/>
  </cols>
  <sheetData>
    <row r="1" spans="1:6" x14ac:dyDescent="0.3">
      <c r="A1" s="1" t="s">
        <v>0</v>
      </c>
      <c r="B1" s="2" t="s">
        <v>1</v>
      </c>
      <c r="C1" s="4" t="s">
        <v>9</v>
      </c>
      <c r="D1" s="1" t="s">
        <v>25</v>
      </c>
      <c r="E1" s="1" t="s">
        <v>29</v>
      </c>
      <c r="F1" s="1" t="s">
        <v>31</v>
      </c>
    </row>
    <row r="2" spans="1:6" x14ac:dyDescent="0.3">
      <c r="A2" s="1" t="s">
        <v>2</v>
      </c>
      <c r="B2" s="2">
        <v>45689</v>
      </c>
      <c r="C2" s="4">
        <v>529.69188859820758</v>
      </c>
      <c r="D2" s="4">
        <v>999.29610859045567</v>
      </c>
      <c r="E2" s="25">
        <v>0.15</v>
      </c>
      <c r="F2" s="22">
        <v>0.75</v>
      </c>
    </row>
    <row r="3" spans="1:6" x14ac:dyDescent="0.3">
      <c r="A3" s="1" t="s">
        <v>3</v>
      </c>
      <c r="B3" s="2">
        <v>45690</v>
      </c>
      <c r="C3" s="4">
        <v>338.66062866938603</v>
      </c>
      <c r="D3" s="4">
        <v>961.27523702735868</v>
      </c>
      <c r="E3" s="25">
        <v>0.15</v>
      </c>
      <c r="F3" s="22">
        <v>0.75</v>
      </c>
    </row>
    <row r="4" spans="1:6" x14ac:dyDescent="0.3">
      <c r="A4" s="1" t="s">
        <v>4</v>
      </c>
      <c r="B4" s="2">
        <v>45691</v>
      </c>
      <c r="C4" s="4">
        <v>875.60854851685963</v>
      </c>
      <c r="D4" s="4">
        <v>963.51593968616942</v>
      </c>
      <c r="E4" s="25">
        <v>0.15</v>
      </c>
      <c r="F4" s="22">
        <v>0.75</v>
      </c>
    </row>
    <row r="5" spans="1:6" x14ac:dyDescent="0.3">
      <c r="A5" s="1" t="s">
        <v>5</v>
      </c>
      <c r="B5" s="2">
        <v>45692</v>
      </c>
      <c r="C5" s="4">
        <v>854.50258200849782</v>
      </c>
      <c r="D5" s="4">
        <v>978.84903924846162</v>
      </c>
      <c r="E5" s="25">
        <v>0.15</v>
      </c>
      <c r="F5" s="22">
        <v>0.75</v>
      </c>
    </row>
    <row r="6" spans="1:6" x14ac:dyDescent="0.3">
      <c r="A6" s="1" t="s">
        <v>6</v>
      </c>
      <c r="B6" s="2">
        <v>45693</v>
      </c>
      <c r="C6" s="4">
        <v>779.82701108732772</v>
      </c>
      <c r="D6" s="4">
        <v>944.42176257054609</v>
      </c>
      <c r="E6" s="25">
        <v>0.15</v>
      </c>
      <c r="F6" s="22">
        <v>0.75</v>
      </c>
    </row>
    <row r="7" spans="1:6" x14ac:dyDescent="0.3">
      <c r="A7" s="1" t="s">
        <v>7</v>
      </c>
      <c r="B7" s="2">
        <v>45694</v>
      </c>
      <c r="C7" s="4">
        <v>714.38927097805845</v>
      </c>
      <c r="D7" s="4">
        <v>961.80709221521749</v>
      </c>
      <c r="E7" s="25">
        <v>0.15</v>
      </c>
      <c r="F7" s="22">
        <v>0.75</v>
      </c>
    </row>
    <row r="8" spans="1:6" x14ac:dyDescent="0.3">
      <c r="A8" s="1" t="s">
        <v>8</v>
      </c>
      <c r="B8" s="2">
        <v>45695</v>
      </c>
      <c r="C8" s="4">
        <v>690.98297242592025</v>
      </c>
      <c r="D8" s="4">
        <v>978.46885769782136</v>
      </c>
      <c r="E8" s="25">
        <v>0.15</v>
      </c>
      <c r="F8" s="22">
        <v>0.75</v>
      </c>
    </row>
    <row r="9" spans="1:6" x14ac:dyDescent="0.3">
      <c r="A9" s="1" t="s">
        <v>2</v>
      </c>
      <c r="B9" s="2">
        <v>45696</v>
      </c>
      <c r="C9" s="4">
        <v>498.97790808657572</v>
      </c>
      <c r="D9" s="4">
        <v>997.17184954924619</v>
      </c>
      <c r="E9" s="25">
        <v>0.15</v>
      </c>
      <c r="F9" s="22">
        <v>0.75</v>
      </c>
    </row>
    <row r="10" spans="1:6" x14ac:dyDescent="0.3">
      <c r="A10" s="1" t="s">
        <v>3</v>
      </c>
      <c r="B10" s="2">
        <v>45697</v>
      </c>
      <c r="C10" s="4">
        <v>313.94400000000002</v>
      </c>
      <c r="D10" s="4">
        <v>960.98922100756829</v>
      </c>
      <c r="E10" s="25">
        <v>0.15</v>
      </c>
      <c r="F10" s="22">
        <v>0.75</v>
      </c>
    </row>
    <row r="11" spans="1:6" x14ac:dyDescent="0.3">
      <c r="A11" s="1" t="s">
        <v>4</v>
      </c>
      <c r="B11" s="2">
        <v>45698</v>
      </c>
      <c r="C11" s="4">
        <v>805.75400000000002</v>
      </c>
      <c r="D11" s="4">
        <v>964.58659839107224</v>
      </c>
      <c r="E11" s="25">
        <v>0.15</v>
      </c>
      <c r="F11" s="22">
        <v>0.75</v>
      </c>
    </row>
    <row r="12" spans="1:6" x14ac:dyDescent="0.3">
      <c r="A12" s="1" t="s">
        <v>5</v>
      </c>
      <c r="B12" s="2">
        <v>45699</v>
      </c>
      <c r="C12" s="4">
        <v>831.7733053412785</v>
      </c>
      <c r="D12" s="4">
        <v>977.39195556980474</v>
      </c>
      <c r="E12" s="25">
        <v>0.15</v>
      </c>
      <c r="F12" s="22">
        <v>0.75</v>
      </c>
    </row>
    <row r="13" spans="1:6" x14ac:dyDescent="0.3">
      <c r="A13" s="1" t="s">
        <v>6</v>
      </c>
      <c r="B13" s="2">
        <v>45700</v>
      </c>
      <c r="C13" s="4">
        <v>790.20951413470834</v>
      </c>
      <c r="D13" s="4">
        <v>944.12295989773293</v>
      </c>
      <c r="E13" s="25">
        <v>0.15</v>
      </c>
      <c r="F13" s="22">
        <v>0.75</v>
      </c>
    </row>
    <row r="14" spans="1:6" x14ac:dyDescent="0.3">
      <c r="A14" s="1" t="s">
        <v>7</v>
      </c>
      <c r="B14" s="2">
        <v>45701</v>
      </c>
      <c r="C14" s="4">
        <v>743.37089263997632</v>
      </c>
      <c r="D14" s="4">
        <v>961.64435909038241</v>
      </c>
      <c r="E14" s="25">
        <v>0.15</v>
      </c>
      <c r="F14" s="22">
        <v>0.75</v>
      </c>
    </row>
    <row r="15" spans="1:6" x14ac:dyDescent="0.3">
      <c r="A15" s="1" t="s">
        <v>8</v>
      </c>
      <c r="B15" s="2">
        <v>45702</v>
      </c>
      <c r="C15" s="4">
        <v>795.10941650556981</v>
      </c>
      <c r="D15" s="4">
        <v>978.06474327599756</v>
      </c>
      <c r="E15" s="25">
        <v>0.15</v>
      </c>
      <c r="F15" s="22">
        <v>0.75</v>
      </c>
    </row>
    <row r="16" spans="1:6" x14ac:dyDescent="0.3">
      <c r="A16" s="1" t="s">
        <v>2</v>
      </c>
      <c r="B16" s="2">
        <v>45703</v>
      </c>
      <c r="C16" s="4">
        <v>532.7528514928033</v>
      </c>
      <c r="D16" s="4">
        <v>1001.4545629788158</v>
      </c>
      <c r="E16" s="25">
        <v>0.15</v>
      </c>
      <c r="F16" s="22">
        <v>0.75</v>
      </c>
    </row>
    <row r="17" spans="1:6" x14ac:dyDescent="0.3">
      <c r="A17" s="1" t="s">
        <v>3</v>
      </c>
      <c r="B17" s="2">
        <v>45704</v>
      </c>
      <c r="C17" s="4">
        <v>331.35544504877822</v>
      </c>
      <c r="D17" s="4">
        <v>961.98816380059361</v>
      </c>
      <c r="E17" s="25">
        <v>0.15</v>
      </c>
      <c r="F17" s="22">
        <v>0.75</v>
      </c>
    </row>
    <row r="18" spans="1:6" x14ac:dyDescent="0.3">
      <c r="A18" s="1" t="s">
        <v>4</v>
      </c>
      <c r="B18" s="2">
        <v>45705</v>
      </c>
      <c r="C18" s="4">
        <v>857.85400000000004</v>
      </c>
      <c r="D18" s="4">
        <v>963.90381113802573</v>
      </c>
      <c r="E18" s="25">
        <v>0.15</v>
      </c>
      <c r="F18" s="22">
        <v>0.75</v>
      </c>
    </row>
    <row r="19" spans="1:6" x14ac:dyDescent="0.3">
      <c r="A19" s="1" t="s">
        <v>5</v>
      </c>
      <c r="B19" s="2">
        <v>45706</v>
      </c>
      <c r="C19" s="4">
        <v>822.31233632522833</v>
      </c>
      <c r="D19" s="4">
        <v>976.71522018811129</v>
      </c>
      <c r="E19" s="25">
        <v>0.15</v>
      </c>
      <c r="F19" s="22">
        <v>0.75</v>
      </c>
    </row>
    <row r="20" spans="1:6" x14ac:dyDescent="0.3">
      <c r="A20" s="1" t="s">
        <v>6</v>
      </c>
      <c r="B20" s="2">
        <v>45707</v>
      </c>
      <c r="C20" s="4">
        <v>865.20049067484695</v>
      </c>
      <c r="D20" s="4">
        <v>945.10902012641895</v>
      </c>
      <c r="E20" s="25">
        <v>0.15</v>
      </c>
      <c r="F20" s="22">
        <v>0.75</v>
      </c>
    </row>
    <row r="21" spans="1:6" x14ac:dyDescent="0.3">
      <c r="A21" s="1" t="s">
        <v>7</v>
      </c>
      <c r="B21" s="2">
        <v>45708</v>
      </c>
      <c r="C21" s="4">
        <v>871.34719999999993</v>
      </c>
      <c r="D21" s="4">
        <v>961.46345566956552</v>
      </c>
      <c r="E21" s="25">
        <v>0.15</v>
      </c>
      <c r="F21" s="22">
        <v>0.75</v>
      </c>
    </row>
    <row r="22" spans="1:6" x14ac:dyDescent="0.3">
      <c r="A22" s="1" t="s">
        <v>8</v>
      </c>
      <c r="B22" s="2">
        <v>45709</v>
      </c>
      <c r="C22" s="4">
        <v>717.96080201704694</v>
      </c>
      <c r="D22" s="4">
        <v>979.02650099517848</v>
      </c>
      <c r="E22" s="25">
        <v>0.15</v>
      </c>
      <c r="F22" s="22">
        <v>0.75</v>
      </c>
    </row>
    <row r="23" spans="1:6" x14ac:dyDescent="0.3">
      <c r="A23" s="1" t="s">
        <v>2</v>
      </c>
      <c r="B23" s="2">
        <v>45710</v>
      </c>
      <c r="C23" s="4">
        <v>535.16505118760051</v>
      </c>
      <c r="D23" s="4">
        <v>999.81466009336748</v>
      </c>
      <c r="E23" s="25">
        <v>0.15</v>
      </c>
      <c r="F23" s="22">
        <v>0.75</v>
      </c>
    </row>
    <row r="24" spans="1:6" x14ac:dyDescent="0.3">
      <c r="A24" s="1" t="s">
        <v>3</v>
      </c>
      <c r="B24" s="2">
        <v>45711</v>
      </c>
      <c r="C24" s="4">
        <v>351.17323948724652</v>
      </c>
      <c r="D24" s="4">
        <v>960.88020599233653</v>
      </c>
      <c r="E24" s="25">
        <v>0.15</v>
      </c>
      <c r="F24" s="22">
        <v>0.75</v>
      </c>
    </row>
    <row r="25" spans="1:6" x14ac:dyDescent="0.3">
      <c r="A25" s="1" t="s">
        <v>4</v>
      </c>
      <c r="B25" s="2">
        <v>45712</v>
      </c>
      <c r="C25" s="4">
        <v>875.01599999999985</v>
      </c>
      <c r="D25" s="4">
        <v>967.51079980251802</v>
      </c>
      <c r="E25" s="25">
        <v>0.15</v>
      </c>
      <c r="F25" s="22">
        <v>0.75</v>
      </c>
    </row>
    <row r="26" spans="1:6" x14ac:dyDescent="0.3">
      <c r="A26" s="1" t="s">
        <v>5</v>
      </c>
      <c r="B26" s="2">
        <v>45713</v>
      </c>
      <c r="C26" s="4">
        <v>888.18990000000008</v>
      </c>
      <c r="D26" s="4">
        <v>979.16375203095629</v>
      </c>
      <c r="E26" s="25">
        <v>0.15</v>
      </c>
      <c r="F26" s="22">
        <v>0.75</v>
      </c>
    </row>
    <row r="27" spans="1:6" x14ac:dyDescent="0.3">
      <c r="A27" s="1" t="s">
        <v>6</v>
      </c>
      <c r="B27" s="2">
        <v>45714</v>
      </c>
      <c r="C27" s="4">
        <v>867.20131588451272</v>
      </c>
      <c r="D27" s="4">
        <v>945.01639787840702</v>
      </c>
      <c r="E27" s="25">
        <v>0.15</v>
      </c>
      <c r="F27" s="22">
        <v>0.75</v>
      </c>
    </row>
    <row r="28" spans="1:6" x14ac:dyDescent="0.3">
      <c r="A28" s="1" t="s">
        <v>7</v>
      </c>
      <c r="B28" s="2">
        <v>45715</v>
      </c>
      <c r="C28" s="4">
        <v>891.71440000000007</v>
      </c>
      <c r="D28" s="4">
        <v>961.30119464258951</v>
      </c>
      <c r="E28" s="25">
        <v>0.15</v>
      </c>
      <c r="F28" s="22">
        <v>0.75</v>
      </c>
    </row>
    <row r="29" spans="1:6" x14ac:dyDescent="0.3">
      <c r="A29" s="1" t="s">
        <v>8</v>
      </c>
      <c r="B29" s="2">
        <v>45716</v>
      </c>
      <c r="C29" s="4">
        <v>852.72665148597548</v>
      </c>
      <c r="D29" s="4">
        <v>974.91361116799771</v>
      </c>
      <c r="E29" s="25">
        <v>0.15</v>
      </c>
      <c r="F29" s="22">
        <v>0.75</v>
      </c>
    </row>
    <row r="30" spans="1:6" x14ac:dyDescent="0.3">
      <c r="A30" s="1" t="s">
        <v>2</v>
      </c>
      <c r="B30" s="2">
        <v>45717</v>
      </c>
      <c r="C30" s="4">
        <v>705.60919549227367</v>
      </c>
      <c r="D30" s="4">
        <v>944.20107082639333</v>
      </c>
      <c r="E30" s="25">
        <v>0.15</v>
      </c>
      <c r="F30" s="22">
        <v>0.75</v>
      </c>
    </row>
    <row r="31" spans="1:6" x14ac:dyDescent="0.3">
      <c r="A31" s="1" t="s">
        <v>3</v>
      </c>
      <c r="B31" s="2">
        <v>45718</v>
      </c>
      <c r="C31" s="4">
        <v>483.70812383089128</v>
      </c>
      <c r="D31" s="4">
        <v>932.39641554236971</v>
      </c>
      <c r="E31" s="25">
        <v>0.15</v>
      </c>
      <c r="F31" s="22">
        <v>0.75</v>
      </c>
    </row>
    <row r="32" spans="1:6" x14ac:dyDescent="0.3">
      <c r="A32" s="1" t="s">
        <v>4</v>
      </c>
      <c r="B32" s="2">
        <v>45719</v>
      </c>
      <c r="C32" s="4">
        <v>1048.7392030030942</v>
      </c>
      <c r="D32" s="4">
        <v>911.59394430482757</v>
      </c>
      <c r="E32" s="25">
        <v>0.15</v>
      </c>
      <c r="F32" s="22">
        <v>0.75</v>
      </c>
    </row>
    <row r="33" spans="1:6" x14ac:dyDescent="0.3">
      <c r="A33" s="1" t="s">
        <v>5</v>
      </c>
      <c r="B33" s="2">
        <v>45720</v>
      </c>
      <c r="C33" s="4">
        <v>1091.5780768351988</v>
      </c>
      <c r="D33" s="4">
        <v>904.32248230953087</v>
      </c>
      <c r="E33" s="25">
        <v>0.15</v>
      </c>
      <c r="F33" s="22">
        <v>0.75</v>
      </c>
    </row>
    <row r="34" spans="1:6" x14ac:dyDescent="0.3">
      <c r="A34" s="1" t="s">
        <v>6</v>
      </c>
      <c r="B34" s="2">
        <v>45721</v>
      </c>
      <c r="C34" s="4">
        <v>951.30939111323505</v>
      </c>
      <c r="D34" s="4">
        <v>914.75820101569673</v>
      </c>
      <c r="E34" s="25">
        <v>0.15</v>
      </c>
      <c r="F34" s="22">
        <v>0.75</v>
      </c>
    </row>
    <row r="35" spans="1:6" x14ac:dyDescent="0.3">
      <c r="A35" s="1" t="s">
        <v>7</v>
      </c>
      <c r="B35" s="2">
        <v>45722</v>
      </c>
      <c r="C35" s="4">
        <v>886.11970572373798</v>
      </c>
      <c r="D35" s="4">
        <v>924.5690646718266</v>
      </c>
      <c r="E35" s="25">
        <v>0.15</v>
      </c>
      <c r="F35" s="22">
        <v>0.75</v>
      </c>
    </row>
    <row r="36" spans="1:6" x14ac:dyDescent="0.3">
      <c r="A36" s="1" t="s">
        <v>8</v>
      </c>
      <c r="B36" s="2">
        <v>45723</v>
      </c>
      <c r="C36" s="4">
        <v>863.99273472197274</v>
      </c>
      <c r="D36" s="4">
        <v>925.80049036063986</v>
      </c>
      <c r="E36" s="25">
        <v>0.15</v>
      </c>
      <c r="F36" s="22">
        <v>0.75</v>
      </c>
    </row>
    <row r="37" spans="1:6" x14ac:dyDescent="0.3">
      <c r="A37" s="1" t="s">
        <v>2</v>
      </c>
      <c r="B37" s="2">
        <v>45724</v>
      </c>
      <c r="C37" s="4">
        <v>601.63654460520183</v>
      </c>
      <c r="D37" s="4">
        <v>941.0050247299979</v>
      </c>
      <c r="E37" s="25">
        <v>0.15</v>
      </c>
      <c r="F37" s="22">
        <v>0.75</v>
      </c>
    </row>
    <row r="38" spans="1:6" x14ac:dyDescent="0.3">
      <c r="A38" s="1" t="s">
        <v>3</v>
      </c>
      <c r="B38" s="2">
        <v>45725</v>
      </c>
      <c r="C38" s="4">
        <v>376.2296500893404</v>
      </c>
      <c r="D38" s="4">
        <v>932.66214406861741</v>
      </c>
      <c r="E38" s="25">
        <v>0.15</v>
      </c>
      <c r="F38" s="22">
        <v>0.75</v>
      </c>
    </row>
    <row r="39" spans="1:6" x14ac:dyDescent="0.3">
      <c r="A39" s="1" t="s">
        <v>4</v>
      </c>
      <c r="B39" s="2">
        <v>45726</v>
      </c>
      <c r="C39" s="4">
        <v>978.42578431533821</v>
      </c>
      <c r="D39" s="4">
        <v>914.58304421170192</v>
      </c>
      <c r="E39" s="25">
        <v>0.15</v>
      </c>
      <c r="F39" s="22">
        <v>0.75</v>
      </c>
    </row>
    <row r="40" spans="1:6" x14ac:dyDescent="0.3">
      <c r="A40" s="1" t="s">
        <v>5</v>
      </c>
      <c r="B40" s="2">
        <v>45727</v>
      </c>
      <c r="C40" s="4">
        <v>1093.0832144721944</v>
      </c>
      <c r="D40" s="4">
        <v>906.51685518218937</v>
      </c>
      <c r="E40" s="25">
        <v>0.15</v>
      </c>
      <c r="F40" s="22">
        <v>0.75</v>
      </c>
    </row>
    <row r="41" spans="1:6" x14ac:dyDescent="0.3">
      <c r="A41" s="1" t="s">
        <v>6</v>
      </c>
      <c r="B41" s="2">
        <v>45728</v>
      </c>
      <c r="C41" s="4">
        <v>1012.0738502099412</v>
      </c>
      <c r="D41" s="4">
        <v>914.98043988164409</v>
      </c>
      <c r="E41" s="25">
        <v>0.15</v>
      </c>
      <c r="F41" s="22">
        <v>0.75</v>
      </c>
    </row>
    <row r="42" spans="1:6" x14ac:dyDescent="0.3">
      <c r="A42" s="1" t="s">
        <v>7</v>
      </c>
      <c r="B42" s="2">
        <v>45729</v>
      </c>
      <c r="C42" s="4">
        <v>872.25768766018814</v>
      </c>
      <c r="D42" s="4">
        <v>930.8241339558931</v>
      </c>
      <c r="E42" s="25">
        <v>0.15</v>
      </c>
      <c r="F42" s="22">
        <v>0.75</v>
      </c>
    </row>
    <row r="43" spans="1:6" x14ac:dyDescent="0.3">
      <c r="A43" s="1" t="s">
        <v>8</v>
      </c>
      <c r="B43" s="2">
        <v>45730</v>
      </c>
      <c r="C43" s="4">
        <v>867.6132540651912</v>
      </c>
      <c r="D43" s="4">
        <v>929.21541626903218</v>
      </c>
      <c r="E43" s="25">
        <v>0.15</v>
      </c>
      <c r="F43" s="22">
        <v>0.75</v>
      </c>
    </row>
    <row r="44" spans="1:6" x14ac:dyDescent="0.3">
      <c r="A44" s="1" t="s">
        <v>2</v>
      </c>
      <c r="B44" s="2">
        <v>45731</v>
      </c>
      <c r="C44" s="4">
        <v>579.76911491119563</v>
      </c>
      <c r="D44" s="4">
        <v>947.27955128661506</v>
      </c>
      <c r="E44" s="25">
        <v>0.15</v>
      </c>
      <c r="F44" s="22">
        <v>0.75</v>
      </c>
    </row>
    <row r="45" spans="1:6" x14ac:dyDescent="0.3">
      <c r="A45" s="1" t="s">
        <v>3</v>
      </c>
      <c r="B45" s="2">
        <v>45732</v>
      </c>
      <c r="C45" s="4">
        <v>395.62843511470595</v>
      </c>
      <c r="D45" s="4">
        <v>934.36100497082884</v>
      </c>
      <c r="E45" s="25">
        <v>0.15</v>
      </c>
      <c r="F45" s="22">
        <v>0.75</v>
      </c>
    </row>
    <row r="46" spans="1:6" x14ac:dyDescent="0.3">
      <c r="A46" s="1" t="s">
        <v>4</v>
      </c>
      <c r="B46" s="2">
        <v>45733</v>
      </c>
      <c r="C46" s="4">
        <v>925.33124894920934</v>
      </c>
      <c r="D46" s="4">
        <v>912.40050243462451</v>
      </c>
      <c r="E46" s="25">
        <v>0.15</v>
      </c>
      <c r="F46" s="22">
        <v>0.75</v>
      </c>
    </row>
    <row r="47" spans="1:6" x14ac:dyDescent="0.3">
      <c r="A47" s="1" t="s">
        <v>5</v>
      </c>
      <c r="B47" s="2">
        <v>45734</v>
      </c>
      <c r="C47" s="4">
        <v>941.50216485338683</v>
      </c>
      <c r="D47" s="4">
        <v>911.61480583372611</v>
      </c>
      <c r="E47" s="25">
        <v>0.15</v>
      </c>
      <c r="F47" s="22">
        <v>0.75</v>
      </c>
    </row>
    <row r="48" spans="1:6" x14ac:dyDescent="0.3">
      <c r="A48" s="1" t="s">
        <v>6</v>
      </c>
      <c r="B48" s="2">
        <v>45735</v>
      </c>
      <c r="C48" s="4">
        <v>868.14223493153258</v>
      </c>
      <c r="D48" s="4">
        <v>915.61278048510894</v>
      </c>
      <c r="E48" s="25">
        <v>0.15</v>
      </c>
      <c r="F48" s="22">
        <v>0.75</v>
      </c>
    </row>
    <row r="49" spans="1:6" x14ac:dyDescent="0.3">
      <c r="A49" s="1" t="s">
        <v>7</v>
      </c>
      <c r="B49" s="2">
        <v>45736</v>
      </c>
      <c r="C49" s="4">
        <v>866.79314134206209</v>
      </c>
      <c r="D49" s="4">
        <v>927.85807744585998</v>
      </c>
      <c r="E49" s="25">
        <v>0.15</v>
      </c>
      <c r="F49" s="22">
        <v>0.75</v>
      </c>
    </row>
    <row r="50" spans="1:6" x14ac:dyDescent="0.3">
      <c r="A50" s="1" t="s">
        <v>8</v>
      </c>
      <c r="B50" s="2">
        <v>45737</v>
      </c>
      <c r="C50" s="4">
        <v>791.810150478271</v>
      </c>
      <c r="D50" s="4">
        <v>923.11098951017766</v>
      </c>
      <c r="E50" s="25">
        <v>0.15</v>
      </c>
      <c r="F50" s="22">
        <v>0.75</v>
      </c>
    </row>
    <row r="51" spans="1:6" x14ac:dyDescent="0.3">
      <c r="A51" s="1" t="s">
        <v>2</v>
      </c>
      <c r="B51" s="2">
        <v>45738</v>
      </c>
      <c r="C51" s="4">
        <v>565.33465669052214</v>
      </c>
      <c r="D51" s="4">
        <v>950.10464663682831</v>
      </c>
      <c r="E51" s="25">
        <v>0.15</v>
      </c>
      <c r="F51" s="22">
        <v>0.75</v>
      </c>
    </row>
    <row r="52" spans="1:6" x14ac:dyDescent="0.3">
      <c r="A52" s="1" t="s">
        <v>3</v>
      </c>
      <c r="B52" s="2">
        <v>45739</v>
      </c>
      <c r="C52" s="4">
        <v>364.90917943467537</v>
      </c>
      <c r="D52" s="4">
        <v>935.5581740172405</v>
      </c>
      <c r="E52" s="25">
        <v>0.15</v>
      </c>
      <c r="F52" s="22">
        <v>0.75</v>
      </c>
    </row>
    <row r="53" spans="1:6" x14ac:dyDescent="0.3">
      <c r="A53" s="1" t="s">
        <v>4</v>
      </c>
      <c r="B53" s="2">
        <v>45740</v>
      </c>
      <c r="C53" s="4">
        <v>855.11876407747559</v>
      </c>
      <c r="D53" s="4">
        <v>912.82349890880198</v>
      </c>
      <c r="E53" s="25">
        <v>0.15</v>
      </c>
      <c r="F53" s="22">
        <v>0.75</v>
      </c>
    </row>
    <row r="54" spans="1:6" x14ac:dyDescent="0.3">
      <c r="A54" s="1" t="s">
        <v>5</v>
      </c>
      <c r="B54" s="2">
        <v>45741</v>
      </c>
      <c r="C54" s="4">
        <v>853.11470162442379</v>
      </c>
      <c r="D54" s="4">
        <v>904.42028879317547</v>
      </c>
      <c r="E54" s="25">
        <v>0.15</v>
      </c>
      <c r="F54" s="22">
        <v>0.75</v>
      </c>
    </row>
    <row r="55" spans="1:6" x14ac:dyDescent="0.3">
      <c r="A55" s="1" t="s">
        <v>6</v>
      </c>
      <c r="B55" s="2">
        <v>45742</v>
      </c>
      <c r="C55" s="4">
        <v>844.93648624135847</v>
      </c>
      <c r="D55" s="4">
        <v>913.93890710556195</v>
      </c>
      <c r="E55" s="25">
        <v>0.15</v>
      </c>
      <c r="F55" s="22">
        <v>0.75</v>
      </c>
    </row>
    <row r="56" spans="1:6" x14ac:dyDescent="0.3">
      <c r="A56" s="1" t="s">
        <v>7</v>
      </c>
      <c r="B56" s="2">
        <v>45743</v>
      </c>
      <c r="C56" s="4">
        <v>771.01386009551561</v>
      </c>
      <c r="D56" s="4">
        <v>932.76470668340278</v>
      </c>
      <c r="E56" s="25">
        <v>0.15</v>
      </c>
      <c r="F56" s="22">
        <v>0.75</v>
      </c>
    </row>
    <row r="57" spans="1:6" x14ac:dyDescent="0.3">
      <c r="A57" s="1" t="s">
        <v>8</v>
      </c>
      <c r="B57" s="2">
        <v>45744</v>
      </c>
      <c r="C57" s="4">
        <v>746.46182384771771</v>
      </c>
      <c r="D57" s="4">
        <v>922.49368601906303</v>
      </c>
      <c r="E57" s="25">
        <v>0.15</v>
      </c>
      <c r="F57" s="22">
        <v>0.75</v>
      </c>
    </row>
    <row r="58" spans="1:6" x14ac:dyDescent="0.3">
      <c r="A58" s="1" t="s">
        <v>2</v>
      </c>
      <c r="B58" s="2">
        <v>45745</v>
      </c>
      <c r="C58" s="4">
        <v>546.36266652681513</v>
      </c>
      <c r="D58" s="4">
        <v>951.40070318745518</v>
      </c>
      <c r="E58" s="25">
        <v>0.15</v>
      </c>
      <c r="F58" s="22">
        <v>0.75</v>
      </c>
    </row>
    <row r="59" spans="1:6" x14ac:dyDescent="0.3">
      <c r="A59" s="1" t="s">
        <v>3</v>
      </c>
      <c r="B59" s="2">
        <v>45746</v>
      </c>
      <c r="C59" s="4">
        <v>379.24699999999996</v>
      </c>
      <c r="D59" s="4">
        <v>936.19287693772139</v>
      </c>
      <c r="E59" s="25">
        <v>0.15</v>
      </c>
      <c r="F59" s="22">
        <v>0.75</v>
      </c>
    </row>
    <row r="60" spans="1:6" x14ac:dyDescent="0.3">
      <c r="A60" s="1" t="s">
        <v>4</v>
      </c>
      <c r="B60" s="2">
        <v>45747</v>
      </c>
      <c r="C60" s="4">
        <v>869.770977218393</v>
      </c>
      <c r="D60" s="4">
        <v>916.80375177683413</v>
      </c>
      <c r="E60" s="25">
        <v>0.15</v>
      </c>
      <c r="F60" s="22">
        <v>0.75</v>
      </c>
    </row>
    <row r="61" spans="1:6" x14ac:dyDescent="0.3">
      <c r="A61" s="1" t="s">
        <v>5</v>
      </c>
      <c r="B61" s="2">
        <v>45748</v>
      </c>
      <c r="C61" s="4">
        <v>1111.08</v>
      </c>
      <c r="D61" s="4">
        <v>945.07333405335362</v>
      </c>
      <c r="E61" s="25">
        <v>0.15</v>
      </c>
      <c r="F61" s="22">
        <v>0.75</v>
      </c>
    </row>
    <row r="62" spans="1:6" x14ac:dyDescent="0.3">
      <c r="A62" s="1" t="s">
        <v>6</v>
      </c>
      <c r="B62" s="2">
        <v>45749</v>
      </c>
      <c r="C62" s="4">
        <v>1045.1659999999999</v>
      </c>
      <c r="D62" s="4">
        <v>941.31617369872345</v>
      </c>
      <c r="E62" s="25">
        <v>0.15</v>
      </c>
      <c r="F62" s="22">
        <v>0.75</v>
      </c>
    </row>
    <row r="63" spans="1:6" x14ac:dyDescent="0.3">
      <c r="A63" s="1" t="s">
        <v>7</v>
      </c>
      <c r="B63" s="2">
        <v>45750</v>
      </c>
      <c r="C63" s="4">
        <v>1039.8959381169693</v>
      </c>
      <c r="D63" s="4">
        <v>942.20267539174574</v>
      </c>
      <c r="E63" s="25">
        <v>0.15</v>
      </c>
      <c r="F63" s="22">
        <v>0.75</v>
      </c>
    </row>
    <row r="64" spans="1:6" x14ac:dyDescent="0.3">
      <c r="A64" s="1" t="s">
        <v>8</v>
      </c>
      <c r="B64" s="2">
        <v>45751</v>
      </c>
      <c r="C64" s="4">
        <v>975.11310801889056</v>
      </c>
      <c r="D64" s="4">
        <v>937.2953840334568</v>
      </c>
      <c r="E64" s="25">
        <v>0.15</v>
      </c>
      <c r="F64" s="22">
        <v>0.75</v>
      </c>
    </row>
    <row r="65" spans="1:6" x14ac:dyDescent="0.3">
      <c r="A65" s="1" t="s">
        <v>2</v>
      </c>
      <c r="B65" s="2">
        <v>45752</v>
      </c>
      <c r="C65" s="4">
        <v>671.73347684564851</v>
      </c>
      <c r="D65" s="4">
        <v>942.30762126118873</v>
      </c>
      <c r="E65" s="25">
        <v>0.15</v>
      </c>
      <c r="F65" s="22">
        <v>0.75</v>
      </c>
    </row>
    <row r="66" spans="1:6" x14ac:dyDescent="0.3">
      <c r="A66" s="1" t="s">
        <v>3</v>
      </c>
      <c r="B66" s="2">
        <v>45753</v>
      </c>
      <c r="C66" s="4">
        <v>439.8664</v>
      </c>
      <c r="D66" s="4">
        <v>941.26589346219669</v>
      </c>
      <c r="E66" s="25">
        <v>0.15</v>
      </c>
      <c r="F66" s="22">
        <v>0.75</v>
      </c>
    </row>
    <row r="67" spans="1:6" x14ac:dyDescent="0.3">
      <c r="A67" s="1" t="s">
        <v>4</v>
      </c>
      <c r="B67" s="2">
        <v>45754</v>
      </c>
      <c r="C67" s="4">
        <v>1135.7067034987217</v>
      </c>
      <c r="D67" s="4">
        <v>942.08439148731497</v>
      </c>
      <c r="E67" s="25">
        <v>0.15</v>
      </c>
      <c r="F67" s="22">
        <v>0.75</v>
      </c>
    </row>
    <row r="68" spans="1:6" x14ac:dyDescent="0.3">
      <c r="A68" s="1" t="s">
        <v>5</v>
      </c>
      <c r="B68" s="2">
        <v>45755</v>
      </c>
      <c r="C68" s="4">
        <v>1084.7076705829045</v>
      </c>
      <c r="D68" s="4">
        <v>943.90018792975445</v>
      </c>
      <c r="E68" s="25">
        <v>0.15</v>
      </c>
      <c r="F68" s="22">
        <v>0.75</v>
      </c>
    </row>
    <row r="69" spans="1:6" x14ac:dyDescent="0.3">
      <c r="A69" s="1" t="s">
        <v>6</v>
      </c>
      <c r="B69" s="2">
        <v>45756</v>
      </c>
      <c r="C69" s="4">
        <v>1039.7171541411788</v>
      </c>
      <c r="D69" s="4">
        <v>940.74659435254853</v>
      </c>
      <c r="E69" s="25">
        <v>0.15</v>
      </c>
      <c r="F69" s="22">
        <v>0.75</v>
      </c>
    </row>
    <row r="70" spans="1:6" x14ac:dyDescent="0.3">
      <c r="A70" s="1" t="s">
        <v>7</v>
      </c>
      <c r="B70" s="2">
        <v>45757</v>
      </c>
      <c r="C70" s="4">
        <v>980.48300809140039</v>
      </c>
      <c r="D70" s="4">
        <v>937.19502623987387</v>
      </c>
      <c r="E70" s="25">
        <v>0.15</v>
      </c>
      <c r="F70" s="22">
        <v>0.75</v>
      </c>
    </row>
    <row r="71" spans="1:6" x14ac:dyDescent="0.3">
      <c r="A71" s="1" t="s">
        <v>8</v>
      </c>
      <c r="B71" s="2">
        <v>45758</v>
      </c>
      <c r="C71" s="4">
        <v>970.45999999999992</v>
      </c>
      <c r="D71" s="4">
        <v>937.57010077695122</v>
      </c>
      <c r="E71" s="25">
        <v>0.15</v>
      </c>
      <c r="F71" s="22">
        <v>0.75</v>
      </c>
    </row>
    <row r="72" spans="1:6" x14ac:dyDescent="0.3">
      <c r="A72" s="1" t="s">
        <v>2</v>
      </c>
      <c r="B72" s="2">
        <v>45759</v>
      </c>
      <c r="C72" s="4">
        <v>702.56519226393698</v>
      </c>
      <c r="D72" s="4">
        <v>937.48953281344257</v>
      </c>
      <c r="E72" s="25">
        <v>0.15</v>
      </c>
      <c r="F72" s="22">
        <v>0.75</v>
      </c>
    </row>
    <row r="73" spans="1:6" x14ac:dyDescent="0.3">
      <c r="A73" s="1" t="s">
        <v>3</v>
      </c>
      <c r="B73" s="2">
        <v>45760</v>
      </c>
      <c r="C73" s="4">
        <v>426.37614396219698</v>
      </c>
      <c r="D73" s="4">
        <v>944.83651786115058</v>
      </c>
      <c r="E73" s="25">
        <v>0.15</v>
      </c>
      <c r="F73" s="22">
        <v>0.75</v>
      </c>
    </row>
    <row r="74" spans="1:6" x14ac:dyDescent="0.3">
      <c r="A74" s="1" t="s">
        <v>4</v>
      </c>
      <c r="B74" s="2">
        <v>45761</v>
      </c>
      <c r="C74" s="4">
        <v>1103.3085300228993</v>
      </c>
      <c r="D74" s="4">
        <v>939.67294721987037</v>
      </c>
      <c r="E74" s="25">
        <v>0.15</v>
      </c>
      <c r="F74" s="22">
        <v>0.75</v>
      </c>
    </row>
    <row r="75" spans="1:6" x14ac:dyDescent="0.3">
      <c r="A75" s="1" t="s">
        <v>5</v>
      </c>
      <c r="B75" s="2">
        <v>45762</v>
      </c>
      <c r="C75" s="4">
        <v>1097.758454702162</v>
      </c>
      <c r="D75" s="4">
        <v>938.2421355129859</v>
      </c>
      <c r="E75" s="25">
        <v>0.15</v>
      </c>
      <c r="F75" s="22">
        <v>0.75</v>
      </c>
    </row>
    <row r="76" spans="1:6" x14ac:dyDescent="0.3">
      <c r="A76" s="1" t="s">
        <v>6</v>
      </c>
      <c r="B76" s="2">
        <v>45763</v>
      </c>
      <c r="C76" s="4">
        <v>1023.2445268195776</v>
      </c>
      <c r="D76" s="4">
        <v>943.53338003541967</v>
      </c>
      <c r="E76" s="25">
        <v>0.15</v>
      </c>
      <c r="F76" s="22">
        <v>0.75</v>
      </c>
    </row>
    <row r="77" spans="1:6" x14ac:dyDescent="0.3">
      <c r="A77" s="1" t="s">
        <v>7</v>
      </c>
      <c r="B77" s="2">
        <v>45764</v>
      </c>
      <c r="C77" s="4">
        <v>925.09189861329355</v>
      </c>
      <c r="D77" s="4">
        <v>943.41310964665831</v>
      </c>
      <c r="E77" s="25">
        <v>0.15</v>
      </c>
      <c r="F77" s="22">
        <v>0.75</v>
      </c>
    </row>
    <row r="78" spans="1:6" x14ac:dyDescent="0.3">
      <c r="A78" s="1" t="s">
        <v>8</v>
      </c>
      <c r="B78" s="2">
        <v>45765</v>
      </c>
      <c r="C78" s="4">
        <v>867.08078233801234</v>
      </c>
      <c r="D78" s="4">
        <v>934.80050721381645</v>
      </c>
      <c r="E78" s="25">
        <v>0.15</v>
      </c>
      <c r="F78" s="22">
        <v>0.75</v>
      </c>
    </row>
    <row r="79" spans="1:6" x14ac:dyDescent="0.3">
      <c r="A79" s="1" t="s">
        <v>2</v>
      </c>
      <c r="B79" s="2">
        <v>45766</v>
      </c>
      <c r="C79" s="4">
        <v>638.7739381548937</v>
      </c>
      <c r="D79" s="4">
        <v>932.79991744044946</v>
      </c>
      <c r="E79" s="25">
        <v>0.15</v>
      </c>
      <c r="F79" s="22">
        <v>0.75</v>
      </c>
    </row>
    <row r="80" spans="1:6" x14ac:dyDescent="0.3">
      <c r="A80" s="1" t="s">
        <v>3</v>
      </c>
      <c r="B80" s="2">
        <v>45767</v>
      </c>
      <c r="C80" s="4">
        <v>0</v>
      </c>
      <c r="D80" s="4">
        <v>0</v>
      </c>
      <c r="E80" s="25">
        <v>0.15</v>
      </c>
      <c r="F80" s="22">
        <v>0.75</v>
      </c>
    </row>
    <row r="81" spans="1:6" x14ac:dyDescent="0.3">
      <c r="A81" s="1" t="s">
        <v>4</v>
      </c>
      <c r="B81" s="2">
        <v>45768</v>
      </c>
      <c r="C81" s="4">
        <v>1139.6741208078454</v>
      </c>
      <c r="D81" s="4">
        <v>939.31255549561683</v>
      </c>
      <c r="E81" s="25">
        <v>0.15</v>
      </c>
      <c r="F81" s="22">
        <v>0.75</v>
      </c>
    </row>
    <row r="82" spans="1:6" x14ac:dyDescent="0.3">
      <c r="A82" s="1" t="s">
        <v>5</v>
      </c>
      <c r="B82" s="2">
        <v>45769</v>
      </c>
      <c r="C82" s="4">
        <v>1106.6616793167884</v>
      </c>
      <c r="D82" s="4">
        <v>940.38477056536203</v>
      </c>
      <c r="E82" s="25">
        <v>0.15</v>
      </c>
      <c r="F82" s="22">
        <v>0.75</v>
      </c>
    </row>
    <row r="83" spans="1:6" x14ac:dyDescent="0.3">
      <c r="A83" s="1" t="s">
        <v>6</v>
      </c>
      <c r="B83" s="2">
        <v>45770</v>
      </c>
      <c r="C83" s="4">
        <v>1146.0009537893548</v>
      </c>
      <c r="D83" s="4">
        <v>940.49583945933432</v>
      </c>
      <c r="E83" s="25">
        <v>0.15</v>
      </c>
      <c r="F83" s="22">
        <v>0.75</v>
      </c>
    </row>
    <row r="84" spans="1:6" x14ac:dyDescent="0.3">
      <c r="A84" s="1" t="s">
        <v>7</v>
      </c>
      <c r="B84" s="2">
        <v>45771</v>
      </c>
      <c r="C84" s="4">
        <v>1077.2798413923681</v>
      </c>
      <c r="D84" s="4">
        <v>941.78121086038391</v>
      </c>
      <c r="E84" s="25">
        <v>0.15</v>
      </c>
      <c r="F84" s="22">
        <v>0.75</v>
      </c>
    </row>
    <row r="85" spans="1:6" x14ac:dyDescent="0.3">
      <c r="A85" s="1" t="s">
        <v>8</v>
      </c>
      <c r="B85" s="2">
        <v>45772</v>
      </c>
      <c r="C85" s="4">
        <v>1005.4713634391726</v>
      </c>
      <c r="D85" s="4">
        <v>941.09621519106963</v>
      </c>
      <c r="E85" s="25">
        <v>0.15</v>
      </c>
      <c r="F85" s="22">
        <v>0.75</v>
      </c>
    </row>
    <row r="86" spans="1:6" x14ac:dyDescent="0.3">
      <c r="A86" s="1" t="s">
        <v>2</v>
      </c>
      <c r="B86" s="2">
        <v>45773</v>
      </c>
      <c r="C86" s="4">
        <v>615.64941000823796</v>
      </c>
      <c r="D86" s="4">
        <v>940.41566595649203</v>
      </c>
      <c r="E86" s="25">
        <v>0.15</v>
      </c>
      <c r="F86" s="22">
        <v>0.75</v>
      </c>
    </row>
    <row r="87" spans="1:6" x14ac:dyDescent="0.3">
      <c r="A87" s="1" t="s">
        <v>3</v>
      </c>
      <c r="B87" s="2">
        <v>45774</v>
      </c>
      <c r="C87" s="4">
        <v>426.46594232449752</v>
      </c>
      <c r="D87" s="4">
        <v>944.85866150155107</v>
      </c>
      <c r="E87" s="25">
        <v>0.15</v>
      </c>
      <c r="F87" s="22">
        <v>0.75</v>
      </c>
    </row>
    <row r="88" spans="1:6" x14ac:dyDescent="0.3">
      <c r="A88" s="1" t="s">
        <v>4</v>
      </c>
      <c r="B88" s="2">
        <v>45775</v>
      </c>
      <c r="C88" s="4">
        <v>1108.7763445740716</v>
      </c>
      <c r="D88" s="4">
        <v>940.5635084472558</v>
      </c>
      <c r="E88" s="25">
        <v>0.15</v>
      </c>
      <c r="F88" s="22">
        <v>0.75</v>
      </c>
    </row>
    <row r="89" spans="1:6" x14ac:dyDescent="0.3">
      <c r="A89" s="1" t="s">
        <v>5</v>
      </c>
      <c r="B89" s="2">
        <v>45776</v>
      </c>
      <c r="C89" s="4">
        <v>1174.8733799513188</v>
      </c>
      <c r="D89" s="4">
        <v>937.07176442097659</v>
      </c>
      <c r="E89" s="25">
        <v>0.15</v>
      </c>
      <c r="F89" s="22">
        <v>0.75</v>
      </c>
    </row>
    <row r="90" spans="1:6" x14ac:dyDescent="0.3">
      <c r="A90" s="1" t="s">
        <v>6</v>
      </c>
      <c r="B90" s="2">
        <v>45777</v>
      </c>
      <c r="C90" s="4">
        <v>1171.5395945090004</v>
      </c>
      <c r="D90" s="4">
        <v>938.97494774727829</v>
      </c>
      <c r="E90" s="25">
        <v>0.15</v>
      </c>
      <c r="F90" s="22">
        <v>0.75</v>
      </c>
    </row>
    <row r="91" spans="1:6" x14ac:dyDescent="0.3">
      <c r="A91" s="1" t="s">
        <v>7</v>
      </c>
      <c r="B91" s="2">
        <v>45778</v>
      </c>
      <c r="C91" s="4">
        <v>1185.3070662889379</v>
      </c>
      <c r="D91" s="4">
        <v>1018.9220587963092</v>
      </c>
      <c r="E91" s="25">
        <v>0.15</v>
      </c>
      <c r="F91" s="22">
        <v>0.75</v>
      </c>
    </row>
    <row r="92" spans="1:6" x14ac:dyDescent="0.3">
      <c r="A92" s="1" t="s">
        <v>8</v>
      </c>
      <c r="B92" s="2">
        <v>45779</v>
      </c>
      <c r="C92" s="4">
        <v>1104.7912000000001</v>
      </c>
      <c r="D92" s="4">
        <v>1018.2400529620437</v>
      </c>
      <c r="E92" s="25">
        <v>0.15</v>
      </c>
      <c r="F92" s="22">
        <v>0.75</v>
      </c>
    </row>
    <row r="93" spans="1:6" x14ac:dyDescent="0.3">
      <c r="A93" s="1" t="s">
        <v>2</v>
      </c>
      <c r="B93" s="2">
        <v>45780</v>
      </c>
      <c r="C93" s="4">
        <v>730.94463439736376</v>
      </c>
      <c r="D93" s="4">
        <v>1019.1471741935949</v>
      </c>
      <c r="E93" s="25">
        <v>0.15</v>
      </c>
      <c r="F93" s="22">
        <v>0.75</v>
      </c>
    </row>
    <row r="94" spans="1:6" x14ac:dyDescent="0.3">
      <c r="A94" s="1" t="s">
        <v>3</v>
      </c>
      <c r="B94" s="2">
        <v>45781</v>
      </c>
      <c r="C94" s="4">
        <v>474.0436948721914</v>
      </c>
      <c r="D94" s="4">
        <v>1021.3847617569578</v>
      </c>
      <c r="E94" s="25">
        <v>0.15</v>
      </c>
      <c r="F94" s="22">
        <v>0.75</v>
      </c>
    </row>
    <row r="95" spans="1:6" x14ac:dyDescent="0.3">
      <c r="A95" s="1" t="s">
        <v>4</v>
      </c>
      <c r="B95" s="2">
        <v>45782</v>
      </c>
      <c r="C95" s="4">
        <v>1229.0308774286896</v>
      </c>
      <c r="D95" s="4">
        <v>1018.2952075598317</v>
      </c>
      <c r="E95" s="25">
        <v>0.15</v>
      </c>
      <c r="F95" s="22">
        <v>0.75</v>
      </c>
    </row>
    <row r="96" spans="1:6" x14ac:dyDescent="0.3">
      <c r="A96" s="1" t="s">
        <v>5</v>
      </c>
      <c r="B96" s="2">
        <v>45783</v>
      </c>
      <c r="C96" s="4">
        <v>1247.8650000000002</v>
      </c>
      <c r="D96" s="4">
        <v>1018.3384019905998</v>
      </c>
      <c r="E96" s="25">
        <v>0.15</v>
      </c>
      <c r="F96" s="22">
        <v>0.75</v>
      </c>
    </row>
    <row r="97" spans="1:6" x14ac:dyDescent="0.3">
      <c r="A97" s="1" t="s">
        <v>6</v>
      </c>
      <c r="B97" s="2">
        <v>45784</v>
      </c>
      <c r="C97" s="4">
        <v>1171.3843955774951</v>
      </c>
      <c r="D97" s="4">
        <v>1019.0497671680173</v>
      </c>
      <c r="E97" s="25">
        <v>0.15</v>
      </c>
      <c r="F97" s="22">
        <v>0.75</v>
      </c>
    </row>
    <row r="98" spans="1:6" x14ac:dyDescent="0.3">
      <c r="A98" s="1" t="s">
        <v>7</v>
      </c>
      <c r="B98" s="2">
        <v>45785</v>
      </c>
      <c r="C98" s="4">
        <v>1117.049926800898</v>
      </c>
      <c r="D98" s="4">
        <v>1020.5369289676245</v>
      </c>
      <c r="E98" s="25">
        <v>0.15</v>
      </c>
      <c r="F98" s="22">
        <v>0.75</v>
      </c>
    </row>
    <row r="99" spans="1:6" x14ac:dyDescent="0.3">
      <c r="A99" s="1" t="s">
        <v>8</v>
      </c>
      <c r="B99" s="2">
        <v>45786</v>
      </c>
      <c r="C99" s="4">
        <v>1018.1859319804813</v>
      </c>
      <c r="D99" s="4">
        <v>1019.2883484078392</v>
      </c>
      <c r="E99" s="25">
        <v>0.15</v>
      </c>
      <c r="F99" s="22">
        <v>0.75</v>
      </c>
    </row>
    <row r="100" spans="1:6" x14ac:dyDescent="0.3">
      <c r="A100" s="1" t="s">
        <v>2</v>
      </c>
      <c r="B100" s="2">
        <v>45787</v>
      </c>
      <c r="C100" s="4">
        <v>746.23150568619349</v>
      </c>
      <c r="D100" s="4">
        <v>1019.0708243910362</v>
      </c>
      <c r="E100" s="25">
        <v>0.15</v>
      </c>
      <c r="F100" s="22">
        <v>0.75</v>
      </c>
    </row>
    <row r="101" spans="1:6" x14ac:dyDescent="0.3">
      <c r="A101" s="1" t="s">
        <v>3</v>
      </c>
      <c r="B101" s="2">
        <v>45788</v>
      </c>
      <c r="C101" s="4">
        <v>394.36324741745733</v>
      </c>
      <c r="D101" s="4">
        <v>1018.7791165347724</v>
      </c>
      <c r="E101" s="25">
        <v>0.15</v>
      </c>
      <c r="F101" s="22">
        <v>0.75</v>
      </c>
    </row>
    <row r="102" spans="1:6" x14ac:dyDescent="0.3">
      <c r="A102" s="1" t="s">
        <v>4</v>
      </c>
      <c r="B102" s="2">
        <v>45789</v>
      </c>
      <c r="C102" s="4">
        <v>1234.2641262310631</v>
      </c>
      <c r="D102" s="4">
        <v>1018.7249629222986</v>
      </c>
      <c r="E102" s="25">
        <v>0.15</v>
      </c>
      <c r="F102" s="22">
        <v>0.75</v>
      </c>
    </row>
    <row r="103" spans="1:6" x14ac:dyDescent="0.3">
      <c r="A103" s="1" t="s">
        <v>5</v>
      </c>
      <c r="B103" s="2">
        <v>45790</v>
      </c>
      <c r="C103" s="4">
        <v>1232.4665</v>
      </c>
      <c r="D103" s="4">
        <v>1018.7060865346036</v>
      </c>
      <c r="E103" s="25">
        <v>0.15</v>
      </c>
      <c r="F103" s="22">
        <v>0.75</v>
      </c>
    </row>
    <row r="104" spans="1:6" x14ac:dyDescent="0.3">
      <c r="A104" s="1" t="s">
        <v>6</v>
      </c>
      <c r="B104" s="2">
        <v>45791</v>
      </c>
      <c r="C104" s="4">
        <v>1117.7537358903576</v>
      </c>
      <c r="D104" s="4">
        <v>1018.2814486668582</v>
      </c>
      <c r="E104" s="25">
        <v>0.15</v>
      </c>
      <c r="F104" s="22">
        <v>0.75</v>
      </c>
    </row>
    <row r="105" spans="1:6" x14ac:dyDescent="0.3">
      <c r="A105" s="1" t="s">
        <v>7</v>
      </c>
      <c r="B105" s="2">
        <v>45792</v>
      </c>
      <c r="C105" s="4">
        <v>1146.6219398104647</v>
      </c>
      <c r="D105" s="4">
        <v>1019.0300707760055</v>
      </c>
      <c r="E105" s="25">
        <v>0.15</v>
      </c>
      <c r="F105" s="22">
        <v>0.75</v>
      </c>
    </row>
    <row r="106" spans="1:6" x14ac:dyDescent="0.3">
      <c r="A106" s="1" t="s">
        <v>8</v>
      </c>
      <c r="B106" s="2">
        <v>45793</v>
      </c>
      <c r="C106" s="4">
        <v>1025.9707457772361</v>
      </c>
      <c r="D106" s="4">
        <v>1018.5377618137068</v>
      </c>
      <c r="E106" s="25">
        <v>0.15</v>
      </c>
      <c r="F106" s="22">
        <v>0.75</v>
      </c>
    </row>
    <row r="107" spans="1:6" x14ac:dyDescent="0.3">
      <c r="A107" s="1" t="s">
        <v>2</v>
      </c>
      <c r="B107" s="2">
        <v>45794</v>
      </c>
      <c r="C107" s="4">
        <v>739.95384092498591</v>
      </c>
      <c r="D107" s="4">
        <v>1018.6212026723002</v>
      </c>
      <c r="E107" s="25">
        <v>0.15</v>
      </c>
      <c r="F107" s="22">
        <v>0.75</v>
      </c>
    </row>
    <row r="108" spans="1:6" x14ac:dyDescent="0.3">
      <c r="A108" s="1" t="s">
        <v>3</v>
      </c>
      <c r="B108" s="2">
        <v>45795</v>
      </c>
      <c r="C108" s="4">
        <v>405.93202768915273</v>
      </c>
      <c r="D108" s="4">
        <v>1021.2154184713476</v>
      </c>
      <c r="E108" s="25">
        <v>0.15</v>
      </c>
      <c r="F108" s="22">
        <v>0.75</v>
      </c>
    </row>
    <row r="109" spans="1:6" x14ac:dyDescent="0.3">
      <c r="A109" s="1" t="s">
        <v>4</v>
      </c>
      <c r="B109" s="2">
        <v>45796</v>
      </c>
      <c r="C109" s="4">
        <v>1217.5176870553869</v>
      </c>
      <c r="D109" s="4">
        <v>1019.3898622815485</v>
      </c>
      <c r="E109" s="25">
        <v>0.15</v>
      </c>
      <c r="F109" s="22">
        <v>0.75</v>
      </c>
    </row>
    <row r="110" spans="1:6" x14ac:dyDescent="0.3">
      <c r="A110" s="1" t="s">
        <v>5</v>
      </c>
      <c r="B110" s="2">
        <v>45797</v>
      </c>
      <c r="C110" s="4">
        <v>1179.0134997973557</v>
      </c>
      <c r="D110" s="4">
        <v>1019.3610378540393</v>
      </c>
      <c r="E110" s="25">
        <v>0.15</v>
      </c>
      <c r="F110" s="22">
        <v>0.75</v>
      </c>
    </row>
    <row r="111" spans="1:6" x14ac:dyDescent="0.3">
      <c r="A111" s="1" t="s">
        <v>6</v>
      </c>
      <c r="B111" s="2">
        <v>45798</v>
      </c>
      <c r="C111" s="4">
        <v>1154.225610566674</v>
      </c>
      <c r="D111" s="4">
        <v>1019.7275123611413</v>
      </c>
      <c r="E111" s="25">
        <v>0.15</v>
      </c>
      <c r="F111" s="22">
        <v>0.75</v>
      </c>
    </row>
    <row r="112" spans="1:6" x14ac:dyDescent="0.3">
      <c r="A112" s="1" t="s">
        <v>7</v>
      </c>
      <c r="B112" s="2">
        <v>45799</v>
      </c>
      <c r="C112" s="4">
        <v>1147.6230895727454</v>
      </c>
      <c r="D112" s="4">
        <v>1018.6009458976181</v>
      </c>
      <c r="E112" s="25">
        <v>0.15</v>
      </c>
      <c r="F112" s="22">
        <v>0.75</v>
      </c>
    </row>
    <row r="113" spans="1:6" x14ac:dyDescent="0.3">
      <c r="A113" s="1" t="s">
        <v>8</v>
      </c>
      <c r="B113" s="2">
        <v>45800</v>
      </c>
      <c r="C113" s="4">
        <v>1047.6014096166784</v>
      </c>
      <c r="D113" s="4">
        <v>1019.6705061780511</v>
      </c>
      <c r="E113" s="25">
        <v>0.15</v>
      </c>
      <c r="F113" s="22">
        <v>0.75</v>
      </c>
    </row>
    <row r="114" spans="1:6" x14ac:dyDescent="0.3">
      <c r="A114" s="1" t="s">
        <v>2</v>
      </c>
      <c r="B114" s="2">
        <v>45801</v>
      </c>
      <c r="C114" s="4">
        <v>675.72823368258696</v>
      </c>
      <c r="D114" s="4">
        <v>1018.475828793102</v>
      </c>
      <c r="E114" s="25">
        <v>0.15</v>
      </c>
      <c r="F114" s="22">
        <v>0.75</v>
      </c>
    </row>
    <row r="115" spans="1:6" x14ac:dyDescent="0.3">
      <c r="A115" s="1" t="s">
        <v>3</v>
      </c>
      <c r="B115" s="2">
        <v>45802</v>
      </c>
      <c r="C115" s="4">
        <v>394.38996022465358</v>
      </c>
      <c r="D115" s="4">
        <v>1021.1053959596011</v>
      </c>
      <c r="E115" s="25">
        <v>0.15</v>
      </c>
      <c r="F115" s="22">
        <v>0.75</v>
      </c>
    </row>
    <row r="116" spans="1:6" x14ac:dyDescent="0.3">
      <c r="A116" s="1" t="s">
        <v>4</v>
      </c>
      <c r="B116" s="2">
        <v>45803</v>
      </c>
      <c r="C116" s="4">
        <v>580.20449393254523</v>
      </c>
      <c r="D116" s="4">
        <v>1017.0419561684403</v>
      </c>
      <c r="E116" s="25">
        <v>0.15</v>
      </c>
      <c r="F116" s="22">
        <v>0.75</v>
      </c>
    </row>
    <row r="117" spans="1:6" x14ac:dyDescent="0.3">
      <c r="A117" s="1" t="s">
        <v>5</v>
      </c>
      <c r="B117" s="2">
        <v>45804</v>
      </c>
      <c r="C117" s="4">
        <v>1236.779</v>
      </c>
      <c r="D117" s="4">
        <v>1017.6742975099027</v>
      </c>
      <c r="E117" s="25">
        <v>0.15</v>
      </c>
      <c r="F117" s="22">
        <v>0.75</v>
      </c>
    </row>
    <row r="118" spans="1:6" x14ac:dyDescent="0.3">
      <c r="A118" s="1" t="s">
        <v>6</v>
      </c>
      <c r="B118" s="2">
        <v>45805</v>
      </c>
      <c r="C118" s="4">
        <v>1211.433</v>
      </c>
      <c r="D118" s="4">
        <v>1017.3862277154411</v>
      </c>
      <c r="E118" s="25">
        <v>0.15</v>
      </c>
      <c r="F118" s="22">
        <v>0.75</v>
      </c>
    </row>
    <row r="119" spans="1:6" x14ac:dyDescent="0.3">
      <c r="A119" s="1" t="s">
        <v>7</v>
      </c>
      <c r="B119" s="2">
        <v>45806</v>
      </c>
      <c r="C119" s="4">
        <v>1176.7470286854852</v>
      </c>
      <c r="D119" s="4">
        <v>1017.2243064483586</v>
      </c>
      <c r="E119" s="25">
        <v>0.15</v>
      </c>
      <c r="F119" s="22">
        <v>0.75</v>
      </c>
    </row>
    <row r="120" spans="1:6" x14ac:dyDescent="0.3">
      <c r="A120" s="1" t="s">
        <v>8</v>
      </c>
      <c r="B120" s="2">
        <v>45807</v>
      </c>
      <c r="C120" s="4">
        <v>1077.2591823432142</v>
      </c>
      <c r="D120" s="4">
        <v>1018.0192708664382</v>
      </c>
      <c r="E120" s="25">
        <v>0.15</v>
      </c>
      <c r="F120" s="22">
        <v>0.75</v>
      </c>
    </row>
    <row r="121" spans="1:6" x14ac:dyDescent="0.3">
      <c r="A121" s="1" t="s">
        <v>2</v>
      </c>
      <c r="B121" s="2">
        <v>45808</v>
      </c>
      <c r="C121" s="4">
        <v>779.12577103052104</v>
      </c>
      <c r="D121" s="4">
        <v>1021.0281993972671</v>
      </c>
      <c r="E121" s="25">
        <v>0.15</v>
      </c>
      <c r="F121" s="22">
        <v>0.75</v>
      </c>
    </row>
    <row r="122" spans="1:6" x14ac:dyDescent="0.3">
      <c r="A122" s="1" t="s">
        <v>3</v>
      </c>
      <c r="B122" s="2">
        <v>45809</v>
      </c>
      <c r="C122" s="4">
        <v>452.11613737341031</v>
      </c>
      <c r="D122" s="4">
        <v>1104.6107841879607</v>
      </c>
      <c r="E122" s="25">
        <v>0.15</v>
      </c>
      <c r="F122" s="22">
        <v>0.75</v>
      </c>
    </row>
    <row r="123" spans="1:6" x14ac:dyDescent="0.3">
      <c r="A123" s="1" t="s">
        <v>4</v>
      </c>
      <c r="B123" s="2">
        <v>45810</v>
      </c>
      <c r="C123" s="4">
        <v>1206.1147146687697</v>
      </c>
      <c r="D123" s="4">
        <v>1097.8633222016276</v>
      </c>
      <c r="E123" s="25">
        <v>0.15</v>
      </c>
      <c r="F123" s="22">
        <v>0.75</v>
      </c>
    </row>
    <row r="124" spans="1:6" x14ac:dyDescent="0.3">
      <c r="A124" s="1" t="s">
        <v>5</v>
      </c>
      <c r="B124" s="2">
        <v>45811</v>
      </c>
      <c r="C124" s="4">
        <v>1229.6759999999999</v>
      </c>
      <c r="D124" s="4">
        <v>1102.1500785572787</v>
      </c>
      <c r="E124" s="25">
        <v>0.15</v>
      </c>
      <c r="F124" s="22">
        <v>0.75</v>
      </c>
    </row>
    <row r="125" spans="1:6" x14ac:dyDescent="0.3">
      <c r="A125" s="1" t="s">
        <v>6</v>
      </c>
      <c r="B125" s="2">
        <v>45812</v>
      </c>
      <c r="C125" s="4">
        <v>1191.7053908832809</v>
      </c>
      <c r="D125" s="4">
        <v>1101.4363357767975</v>
      </c>
      <c r="E125" s="25">
        <v>0.15</v>
      </c>
      <c r="F125" s="22">
        <v>0.75</v>
      </c>
    </row>
    <row r="126" spans="1:6" x14ac:dyDescent="0.3">
      <c r="A126" s="1" t="s">
        <v>7</v>
      </c>
      <c r="B126" s="2">
        <v>45813</v>
      </c>
      <c r="C126" s="4">
        <v>1093.9972411253584</v>
      </c>
      <c r="D126" s="4">
        <v>1101.2666590578276</v>
      </c>
      <c r="E126" s="25">
        <v>0.15</v>
      </c>
      <c r="F126" s="22">
        <v>0.75</v>
      </c>
    </row>
    <row r="127" spans="1:6" x14ac:dyDescent="0.3">
      <c r="A127" s="1" t="s">
        <v>8</v>
      </c>
      <c r="B127" s="2">
        <v>45814</v>
      </c>
      <c r="C127" s="4">
        <v>1044.2602835456121</v>
      </c>
      <c r="D127" s="4">
        <v>1101.1747414337681</v>
      </c>
      <c r="E127" s="25">
        <v>0.15</v>
      </c>
      <c r="F127" s="22">
        <v>0.75</v>
      </c>
    </row>
    <row r="128" spans="1:6" x14ac:dyDescent="0.3">
      <c r="A128" s="1" t="s">
        <v>2</v>
      </c>
      <c r="B128" s="2">
        <v>45815</v>
      </c>
      <c r="C128" s="4">
        <v>767.48797351791973</v>
      </c>
      <c r="D128" s="4">
        <v>1109.0169508129657</v>
      </c>
      <c r="E128" s="25">
        <v>0.15</v>
      </c>
      <c r="F128" s="22">
        <v>0.75</v>
      </c>
    </row>
    <row r="129" spans="1:6" x14ac:dyDescent="0.3">
      <c r="A129" s="1" t="s">
        <v>3</v>
      </c>
      <c r="B129" s="2">
        <v>45816</v>
      </c>
      <c r="C129" s="4">
        <v>444.30959710664257</v>
      </c>
      <c r="D129" s="4">
        <v>1109.3854138454531</v>
      </c>
      <c r="E129" s="25">
        <v>0.15</v>
      </c>
      <c r="F129" s="22">
        <v>0.75</v>
      </c>
    </row>
    <row r="130" spans="1:6" x14ac:dyDescent="0.3">
      <c r="A130" s="1" t="s">
        <v>4</v>
      </c>
      <c r="B130" s="2">
        <v>45817</v>
      </c>
      <c r="C130" s="4">
        <v>1212.2352799369085</v>
      </c>
      <c r="D130" s="4">
        <v>1098.379009389653</v>
      </c>
      <c r="E130" s="25">
        <v>0.15</v>
      </c>
      <c r="F130" s="22">
        <v>0.75</v>
      </c>
    </row>
    <row r="131" spans="1:6" x14ac:dyDescent="0.3">
      <c r="A131" s="1" t="s">
        <v>5</v>
      </c>
      <c r="B131" s="2">
        <v>45818</v>
      </c>
      <c r="C131" s="4">
        <v>1195.5214411987381</v>
      </c>
      <c r="D131" s="4">
        <v>1099.3546281534252</v>
      </c>
      <c r="E131" s="25">
        <v>0.15</v>
      </c>
      <c r="F131" s="22">
        <v>0.75</v>
      </c>
    </row>
    <row r="132" spans="1:6" x14ac:dyDescent="0.3">
      <c r="A132" s="1" t="s">
        <v>6</v>
      </c>
      <c r="B132" s="2">
        <v>45819</v>
      </c>
      <c r="C132" s="4">
        <v>1111.9192721451104</v>
      </c>
      <c r="D132" s="4">
        <v>1099.5168509091018</v>
      </c>
      <c r="E132" s="25">
        <v>0.15</v>
      </c>
      <c r="F132" s="22">
        <v>0.75</v>
      </c>
    </row>
    <row r="133" spans="1:6" x14ac:dyDescent="0.3">
      <c r="A133" s="1" t="s">
        <v>7</v>
      </c>
      <c r="B133" s="2">
        <v>45820</v>
      </c>
      <c r="C133" s="4">
        <v>1105.7827005943382</v>
      </c>
      <c r="D133" s="4">
        <v>1100.6575343013287</v>
      </c>
      <c r="E133" s="25">
        <v>0.15</v>
      </c>
      <c r="F133" s="22">
        <v>0.75</v>
      </c>
    </row>
    <row r="134" spans="1:6" x14ac:dyDescent="0.3">
      <c r="A134" s="1" t="s">
        <v>8</v>
      </c>
      <c r="B134" s="2">
        <v>45821</v>
      </c>
      <c r="C134" s="4">
        <v>1026.0652492113566</v>
      </c>
      <c r="D134" s="4">
        <v>1096.6932657728421</v>
      </c>
      <c r="E134" s="25">
        <v>0.15</v>
      </c>
      <c r="F134" s="22">
        <v>0.75</v>
      </c>
    </row>
    <row r="135" spans="1:6" x14ac:dyDescent="0.3">
      <c r="A135" s="1" t="s">
        <v>2</v>
      </c>
      <c r="B135" s="2">
        <v>45822</v>
      </c>
      <c r="C135" s="4">
        <v>719.49576872269847</v>
      </c>
      <c r="D135" s="4">
        <v>1101.4333470922238</v>
      </c>
      <c r="E135" s="25">
        <v>0.15</v>
      </c>
      <c r="F135" s="22">
        <v>0.75</v>
      </c>
    </row>
    <row r="136" spans="1:6" x14ac:dyDescent="0.3">
      <c r="A136" s="1" t="s">
        <v>3</v>
      </c>
      <c r="B136" s="2">
        <v>45823</v>
      </c>
      <c r="C136" s="4">
        <v>368.50962321579266</v>
      </c>
      <c r="D136" s="4">
        <v>1112.1496659982431</v>
      </c>
      <c r="E136" s="25">
        <v>0.15</v>
      </c>
      <c r="F136" s="22">
        <v>0.75</v>
      </c>
    </row>
    <row r="137" spans="1:6" x14ac:dyDescent="0.3">
      <c r="A137" s="1" t="s">
        <v>4</v>
      </c>
      <c r="B137" s="2">
        <v>45824</v>
      </c>
      <c r="C137" s="4">
        <v>1181.299</v>
      </c>
      <c r="D137" s="4">
        <v>1102.9932303337259</v>
      </c>
      <c r="E137" s="25">
        <v>0.15</v>
      </c>
      <c r="F137" s="22">
        <v>0.75</v>
      </c>
    </row>
    <row r="138" spans="1:6" x14ac:dyDescent="0.3">
      <c r="A138" s="1" t="s">
        <v>5</v>
      </c>
      <c r="B138" s="2">
        <v>45825</v>
      </c>
      <c r="C138" s="4">
        <v>1210.5770000000002</v>
      </c>
      <c r="D138" s="4">
        <v>1102.9728385720196</v>
      </c>
      <c r="E138" s="25">
        <v>0.15</v>
      </c>
      <c r="F138" s="22">
        <v>0.75</v>
      </c>
    </row>
    <row r="139" spans="1:6" x14ac:dyDescent="0.3">
      <c r="A139" s="1" t="s">
        <v>6</v>
      </c>
      <c r="B139" s="2">
        <v>45826</v>
      </c>
      <c r="C139" s="4">
        <v>1119.6684774132491</v>
      </c>
      <c r="D139" s="4">
        <v>1100.2122929653913</v>
      </c>
      <c r="E139" s="25">
        <v>0.15</v>
      </c>
      <c r="F139" s="22">
        <v>0.75</v>
      </c>
    </row>
    <row r="140" spans="1:6" x14ac:dyDescent="0.3">
      <c r="A140" s="1" t="s">
        <v>7</v>
      </c>
      <c r="B140" s="2">
        <v>45827</v>
      </c>
      <c r="C140" s="4">
        <v>1107.8562927760252</v>
      </c>
      <c r="D140" s="4">
        <v>1101.7342766296774</v>
      </c>
      <c r="E140" s="25">
        <v>0.15</v>
      </c>
      <c r="F140" s="22">
        <v>0.75</v>
      </c>
    </row>
    <row r="141" spans="1:6" x14ac:dyDescent="0.3">
      <c r="A141" s="1" t="s">
        <v>8</v>
      </c>
      <c r="B141" s="2">
        <v>45828</v>
      </c>
      <c r="C141" s="4">
        <v>1063.8353418296531</v>
      </c>
      <c r="D141" s="4">
        <v>1105.7469271254424</v>
      </c>
      <c r="E141" s="25">
        <v>0.15</v>
      </c>
      <c r="F141" s="22">
        <v>0.75</v>
      </c>
    </row>
    <row r="142" spans="1:6" x14ac:dyDescent="0.3">
      <c r="A142" s="1" t="s">
        <v>2</v>
      </c>
      <c r="B142" s="2">
        <v>45829</v>
      </c>
      <c r="C142" s="4">
        <v>742.4756635550533</v>
      </c>
      <c r="D142" s="4">
        <v>1095.8899397804066</v>
      </c>
      <c r="E142" s="25">
        <v>0.15</v>
      </c>
      <c r="F142" s="22">
        <v>0.75</v>
      </c>
    </row>
    <row r="143" spans="1:6" x14ac:dyDescent="0.3">
      <c r="A143" s="1" t="s">
        <v>3</v>
      </c>
      <c r="B143" s="2">
        <v>45830</v>
      </c>
      <c r="C143" s="4">
        <v>478.32042198337535</v>
      </c>
      <c r="D143" s="4">
        <v>1104.9042415774436</v>
      </c>
      <c r="E143" s="25">
        <v>0.15</v>
      </c>
      <c r="F143" s="22">
        <v>0.75</v>
      </c>
    </row>
    <row r="144" spans="1:6" x14ac:dyDescent="0.3">
      <c r="A144" s="1" t="s">
        <v>4</v>
      </c>
      <c r="B144" s="2">
        <v>45831</v>
      </c>
      <c r="C144" s="4">
        <v>1163.5938016275686</v>
      </c>
      <c r="D144" s="4">
        <v>1105.5417572005767</v>
      </c>
      <c r="E144" s="25">
        <v>0.15</v>
      </c>
      <c r="F144" s="22">
        <v>0.75</v>
      </c>
    </row>
    <row r="145" spans="1:6" x14ac:dyDescent="0.3">
      <c r="A145" s="1" t="s">
        <v>5</v>
      </c>
      <c r="B145" s="2">
        <v>45832</v>
      </c>
      <c r="C145" s="4">
        <v>1221.7931662460569</v>
      </c>
      <c r="D145" s="4">
        <v>1103.8635562507761</v>
      </c>
      <c r="E145" s="25">
        <v>0.15</v>
      </c>
      <c r="F145" s="22">
        <v>0.75</v>
      </c>
    </row>
    <row r="146" spans="1:6" x14ac:dyDescent="0.3">
      <c r="A146" s="1" t="s">
        <v>6</v>
      </c>
      <c r="B146" s="2">
        <v>45833</v>
      </c>
      <c r="C146" s="4">
        <v>1248.902539202661</v>
      </c>
      <c r="D146" s="4">
        <v>1104.8359534839799</v>
      </c>
      <c r="E146" s="25">
        <v>0.15</v>
      </c>
      <c r="F146" s="22">
        <v>0.75</v>
      </c>
    </row>
    <row r="147" spans="1:6" x14ac:dyDescent="0.3">
      <c r="A147" s="1" t="s">
        <v>7</v>
      </c>
      <c r="B147" s="2">
        <v>45834</v>
      </c>
      <c r="C147" s="4">
        <v>1124.7187043533122</v>
      </c>
      <c r="D147" s="4">
        <v>1105.7547015180589</v>
      </c>
      <c r="E147" s="25">
        <v>0.15</v>
      </c>
      <c r="F147" s="22">
        <v>0.75</v>
      </c>
    </row>
    <row r="148" spans="1:6" x14ac:dyDescent="0.3">
      <c r="A148" s="1" t="s">
        <v>8</v>
      </c>
      <c r="B148" s="2">
        <v>45835</v>
      </c>
      <c r="C148" s="4">
        <v>1073.7243440378547</v>
      </c>
      <c r="D148" s="4">
        <v>1106.2147765772836</v>
      </c>
      <c r="E148" s="25">
        <v>0.15</v>
      </c>
      <c r="F148" s="22">
        <v>0.75</v>
      </c>
    </row>
    <row r="149" spans="1:6" x14ac:dyDescent="0.3">
      <c r="A149" s="1" t="s">
        <v>2</v>
      </c>
      <c r="B149" s="2">
        <v>45836</v>
      </c>
      <c r="C149" s="4">
        <v>776.9050656548543</v>
      </c>
      <c r="D149" s="4">
        <v>1098.2839009344509</v>
      </c>
      <c r="E149" s="25">
        <v>0.15</v>
      </c>
      <c r="F149" s="22">
        <v>0.75</v>
      </c>
    </row>
    <row r="150" spans="1:6" x14ac:dyDescent="0.3">
      <c r="A150" s="1" t="s">
        <v>3</v>
      </c>
      <c r="B150" s="2">
        <v>45837</v>
      </c>
      <c r="C150" s="4">
        <v>452.23390549074668</v>
      </c>
      <c r="D150" s="4">
        <v>1100.4823432774263</v>
      </c>
      <c r="E150" s="25">
        <v>0.15</v>
      </c>
      <c r="F150" s="22">
        <v>0.75</v>
      </c>
    </row>
    <row r="151" spans="1:6" x14ac:dyDescent="0.3">
      <c r="A151" s="1" t="s">
        <v>4</v>
      </c>
      <c r="B151" s="2">
        <v>45838</v>
      </c>
      <c r="C151" s="4">
        <v>1142.8593558575456</v>
      </c>
      <c r="D151" s="4">
        <v>1101.6784982961717</v>
      </c>
      <c r="E151" s="25">
        <v>0.15</v>
      </c>
      <c r="F151" s="22">
        <v>0.75</v>
      </c>
    </row>
    <row r="152" spans="1:6" x14ac:dyDescent="0.3">
      <c r="A152" s="1" t="s">
        <v>5</v>
      </c>
      <c r="B152" s="2">
        <v>45839</v>
      </c>
      <c r="C152" s="4">
        <v>1228.29</v>
      </c>
      <c r="D152" s="4">
        <v>1075.7377329458027</v>
      </c>
      <c r="E152" s="25">
        <v>0.15</v>
      </c>
      <c r="F152" s="22">
        <v>0.75</v>
      </c>
    </row>
    <row r="153" spans="1:6" x14ac:dyDescent="0.3">
      <c r="A153" s="1" t="s">
        <v>6</v>
      </c>
      <c r="B153" s="2">
        <v>45840</v>
      </c>
      <c r="C153" s="4">
        <v>1178.2519700998164</v>
      </c>
      <c r="D153" s="4">
        <v>1074.9142804297735</v>
      </c>
      <c r="E153" s="25">
        <v>0.15</v>
      </c>
      <c r="F153" s="22">
        <v>0.75</v>
      </c>
    </row>
    <row r="154" spans="1:6" x14ac:dyDescent="0.3">
      <c r="A154" s="1" t="s">
        <v>7</v>
      </c>
      <c r="B154" s="2">
        <v>45841</v>
      </c>
      <c r="C154" s="4">
        <v>1136.8763579069873</v>
      </c>
      <c r="D154" s="4">
        <v>1074.496859140665</v>
      </c>
      <c r="E154" s="25">
        <v>0.15</v>
      </c>
      <c r="F154" s="22">
        <v>0.75</v>
      </c>
    </row>
    <row r="155" spans="1:6" x14ac:dyDescent="0.3">
      <c r="A155" s="1" t="s">
        <v>8</v>
      </c>
      <c r="B155" s="2">
        <v>45842</v>
      </c>
      <c r="C155" s="4">
        <v>312.67</v>
      </c>
      <c r="D155" s="4">
        <v>1074.0733041225574</v>
      </c>
      <c r="E155" s="25">
        <v>0.15</v>
      </c>
      <c r="F155" s="22">
        <v>0.75</v>
      </c>
    </row>
    <row r="156" spans="1:6" x14ac:dyDescent="0.3">
      <c r="A156" s="1" t="s">
        <v>2</v>
      </c>
      <c r="B156" s="2">
        <v>45843</v>
      </c>
      <c r="C156" s="4">
        <v>778.77814462622712</v>
      </c>
      <c r="D156" s="4">
        <v>1075.6964436206283</v>
      </c>
      <c r="E156" s="25">
        <v>0.15</v>
      </c>
      <c r="F156" s="22">
        <v>0.75</v>
      </c>
    </row>
    <row r="157" spans="1:6" x14ac:dyDescent="0.3">
      <c r="A157" s="1" t="s">
        <v>3</v>
      </c>
      <c r="B157" s="2">
        <v>45844</v>
      </c>
      <c r="C157" s="4">
        <v>452.51489686740342</v>
      </c>
      <c r="D157" s="4">
        <v>1078.1275970471056</v>
      </c>
      <c r="E157" s="25">
        <v>0.15</v>
      </c>
      <c r="F157" s="22">
        <v>0.75</v>
      </c>
    </row>
    <row r="158" spans="1:6" x14ac:dyDescent="0.3">
      <c r="A158" s="1" t="s">
        <v>4</v>
      </c>
      <c r="B158" s="2">
        <v>45845</v>
      </c>
      <c r="C158" s="4">
        <v>1251.8389999999999</v>
      </c>
      <c r="D158" s="4">
        <v>1072.8484653377952</v>
      </c>
      <c r="E158" s="25">
        <v>0.15</v>
      </c>
      <c r="F158" s="22">
        <v>0.75</v>
      </c>
    </row>
    <row r="159" spans="1:6" x14ac:dyDescent="0.3">
      <c r="A159" s="1" t="s">
        <v>5</v>
      </c>
      <c r="B159" s="2">
        <v>45846</v>
      </c>
      <c r="C159" s="4">
        <v>1236.8874316463778</v>
      </c>
      <c r="D159" s="4">
        <v>1072.4701948684926</v>
      </c>
      <c r="E159" s="25">
        <v>0.15</v>
      </c>
      <c r="F159" s="22">
        <v>0.75</v>
      </c>
    </row>
    <row r="160" spans="1:6" x14ac:dyDescent="0.3">
      <c r="A160" s="1" t="s">
        <v>6</v>
      </c>
      <c r="B160" s="2">
        <v>45847</v>
      </c>
      <c r="C160" s="4">
        <v>1149.8899013175242</v>
      </c>
      <c r="D160" s="4">
        <v>1073.4168713097924</v>
      </c>
      <c r="E160" s="25">
        <v>0.15</v>
      </c>
      <c r="F160" s="22">
        <v>0.75</v>
      </c>
    </row>
    <row r="161" spans="1:6" x14ac:dyDescent="0.3">
      <c r="A161" s="1" t="s">
        <v>7</v>
      </c>
      <c r="B161" s="2">
        <v>45848</v>
      </c>
      <c r="C161" s="4">
        <v>1132.3474977573892</v>
      </c>
      <c r="D161" s="4">
        <v>1074.3762293699333</v>
      </c>
      <c r="E161" s="25">
        <v>0.15</v>
      </c>
      <c r="F161" s="22">
        <v>0.75</v>
      </c>
    </row>
    <row r="162" spans="1:6" x14ac:dyDescent="0.3">
      <c r="A162" s="1" t="s">
        <v>8</v>
      </c>
      <c r="B162" s="2">
        <v>45849</v>
      </c>
      <c r="C162" s="4">
        <v>1146.8429999999998</v>
      </c>
      <c r="D162" s="4">
        <v>1073.6276456324013</v>
      </c>
      <c r="E162" s="25">
        <v>0.15</v>
      </c>
      <c r="F162" s="22">
        <v>0.75</v>
      </c>
    </row>
    <row r="163" spans="1:6" x14ac:dyDescent="0.3">
      <c r="A163" s="1" t="s">
        <v>2</v>
      </c>
      <c r="B163" s="2">
        <v>45850</v>
      </c>
      <c r="C163" s="4">
        <v>749.71727099840132</v>
      </c>
      <c r="D163" s="4">
        <v>1077.2069285182322</v>
      </c>
      <c r="E163" s="25">
        <v>0.15</v>
      </c>
      <c r="F163" s="22">
        <v>0.75</v>
      </c>
    </row>
    <row r="164" spans="1:6" x14ac:dyDescent="0.3">
      <c r="A164" s="1" t="s">
        <v>3</v>
      </c>
      <c r="B164" s="2">
        <v>45851</v>
      </c>
      <c r="C164" s="4">
        <v>407.91134187083884</v>
      </c>
      <c r="D164" s="4">
        <v>1077.172339731773</v>
      </c>
      <c r="E164" s="25">
        <v>0.15</v>
      </c>
      <c r="F164" s="22">
        <v>0.75</v>
      </c>
    </row>
    <row r="165" spans="1:6" x14ac:dyDescent="0.3">
      <c r="A165" s="1" t="s">
        <v>4</v>
      </c>
      <c r="B165" s="2">
        <v>45852</v>
      </c>
      <c r="C165" s="4">
        <v>1226.4382000000001</v>
      </c>
      <c r="D165" s="4">
        <v>1074.3650189630428</v>
      </c>
      <c r="E165" s="25">
        <v>0.15</v>
      </c>
      <c r="F165" s="22">
        <v>0.75</v>
      </c>
    </row>
    <row r="166" spans="1:6" x14ac:dyDescent="0.3">
      <c r="A166" s="1" t="s">
        <v>5</v>
      </c>
      <c r="B166" s="2">
        <v>45853</v>
      </c>
      <c r="C166" s="4">
        <v>1228.8948564522627</v>
      </c>
      <c r="D166" s="4">
        <v>1073.2750587650546</v>
      </c>
      <c r="E166" s="25">
        <v>0.15</v>
      </c>
      <c r="F166" s="22">
        <v>0.75</v>
      </c>
    </row>
    <row r="167" spans="1:6" x14ac:dyDescent="0.3">
      <c r="A167" s="1" t="s">
        <v>6</v>
      </c>
      <c r="B167" s="2">
        <v>45854</v>
      </c>
      <c r="C167" s="4">
        <v>1219.413</v>
      </c>
      <c r="D167" s="4">
        <v>1074.0733041225574</v>
      </c>
      <c r="E167" s="25">
        <v>0.15</v>
      </c>
      <c r="F167" s="22">
        <v>0.75</v>
      </c>
    </row>
    <row r="168" spans="1:6" x14ac:dyDescent="0.3">
      <c r="A168" s="1" t="s">
        <v>7</v>
      </c>
      <c r="B168" s="2">
        <v>45855</v>
      </c>
      <c r="C168" s="4">
        <v>1137.3865000000001</v>
      </c>
      <c r="D168" s="4">
        <v>1072.5005308221962</v>
      </c>
      <c r="E168" s="25">
        <v>0.15</v>
      </c>
      <c r="F168" s="22">
        <v>0.75</v>
      </c>
    </row>
    <row r="169" spans="1:6" x14ac:dyDescent="0.3">
      <c r="A169" s="1" t="s">
        <v>8</v>
      </c>
      <c r="B169" s="2">
        <v>45856</v>
      </c>
      <c r="C169" s="4">
        <v>1149.1270280141828</v>
      </c>
      <c r="D169" s="4">
        <v>1072.9842138602969</v>
      </c>
      <c r="E169" s="25">
        <v>0.15</v>
      </c>
      <c r="F169" s="22">
        <v>0.75</v>
      </c>
    </row>
    <row r="170" spans="1:6" x14ac:dyDescent="0.3">
      <c r="A170" s="1" t="s">
        <v>2</v>
      </c>
      <c r="B170" s="2">
        <v>45857</v>
      </c>
      <c r="C170" s="4">
        <v>789.73164113739142</v>
      </c>
      <c r="D170" s="4">
        <v>1072.8347706807474</v>
      </c>
      <c r="E170" s="25">
        <v>0.15</v>
      </c>
      <c r="F170" s="22">
        <v>0.75</v>
      </c>
    </row>
    <row r="171" spans="1:6" x14ac:dyDescent="0.3">
      <c r="A171" s="1" t="s">
        <v>3</v>
      </c>
      <c r="B171" s="2">
        <v>45858</v>
      </c>
      <c r="C171" s="4">
        <v>385.89628225165495</v>
      </c>
      <c r="D171" s="4">
        <v>1078.62581890556</v>
      </c>
      <c r="E171" s="25">
        <v>0.15</v>
      </c>
      <c r="F171" s="22">
        <v>0.75</v>
      </c>
    </row>
    <row r="172" spans="1:6" x14ac:dyDescent="0.3">
      <c r="A172" s="1" t="s">
        <v>4</v>
      </c>
      <c r="B172" s="2">
        <v>45859</v>
      </c>
      <c r="C172" s="4">
        <v>1236.88480086239</v>
      </c>
      <c r="D172" s="4">
        <v>1074.792676766097</v>
      </c>
      <c r="E172" s="25">
        <v>0.15</v>
      </c>
      <c r="F172" s="22">
        <v>0.75</v>
      </c>
    </row>
    <row r="173" spans="1:6" x14ac:dyDescent="0.3">
      <c r="A173" s="1" t="s">
        <v>5</v>
      </c>
      <c r="B173" s="2">
        <v>45860</v>
      </c>
      <c r="C173" s="4">
        <v>1254.0243123827602</v>
      </c>
      <c r="D173" s="4">
        <v>1074.2091186980438</v>
      </c>
      <c r="E173" s="25">
        <v>0.15</v>
      </c>
      <c r="F173" s="22">
        <v>0.75</v>
      </c>
    </row>
    <row r="174" spans="1:6" x14ac:dyDescent="0.3">
      <c r="A174" s="1" t="s">
        <v>6</v>
      </c>
      <c r="B174" s="2">
        <v>45861</v>
      </c>
      <c r="C174" s="4">
        <v>1218.3729948072344</v>
      </c>
      <c r="D174" s="4">
        <v>1074.0298330111746</v>
      </c>
      <c r="E174" s="25">
        <v>0.15</v>
      </c>
      <c r="F174" s="22">
        <v>0.75</v>
      </c>
    </row>
    <row r="175" spans="1:6" x14ac:dyDescent="0.3">
      <c r="A175" s="1" t="s">
        <v>7</v>
      </c>
      <c r="B175" s="2">
        <v>45862</v>
      </c>
      <c r="C175" s="4">
        <v>1158.7967334973173</v>
      </c>
      <c r="D175" s="4">
        <v>1072.7834651661624</v>
      </c>
      <c r="E175" s="25">
        <v>0.15</v>
      </c>
      <c r="F175" s="22">
        <v>0.75</v>
      </c>
    </row>
    <row r="176" spans="1:6" x14ac:dyDescent="0.3">
      <c r="A176" s="1" t="s">
        <v>8</v>
      </c>
      <c r="B176" s="2">
        <v>45863</v>
      </c>
      <c r="C176" s="4">
        <v>1127.3685157674781</v>
      </c>
      <c r="D176" s="4">
        <v>1071.1159346740801</v>
      </c>
      <c r="E176" s="25">
        <v>0.15</v>
      </c>
      <c r="F176" s="22">
        <v>0.75</v>
      </c>
    </row>
    <row r="177" spans="1:6" x14ac:dyDescent="0.3">
      <c r="A177" s="1" t="s">
        <v>2</v>
      </c>
      <c r="B177" s="2">
        <v>45864</v>
      </c>
      <c r="C177" s="4">
        <v>673.69560938810218</v>
      </c>
      <c r="D177" s="4">
        <v>1075.0608425302041</v>
      </c>
      <c r="E177" s="25">
        <v>0.15</v>
      </c>
      <c r="F177" s="22">
        <v>0.75</v>
      </c>
    </row>
    <row r="178" spans="1:6" x14ac:dyDescent="0.3">
      <c r="A178" s="1" t="s">
        <v>3</v>
      </c>
      <c r="B178" s="2">
        <v>45865</v>
      </c>
      <c r="C178" s="4">
        <v>419.09766230884048</v>
      </c>
      <c r="D178" s="4">
        <v>1076.2927309611075</v>
      </c>
      <c r="E178" s="25">
        <v>0.15</v>
      </c>
      <c r="F178" s="22">
        <v>0.75</v>
      </c>
    </row>
    <row r="179" spans="1:6" x14ac:dyDescent="0.3">
      <c r="A179" s="1" t="s">
        <v>4</v>
      </c>
      <c r="B179" s="2">
        <v>45866</v>
      </c>
      <c r="C179" s="4">
        <v>1265.3964745687672</v>
      </c>
      <c r="D179" s="4">
        <v>1075.9971700533695</v>
      </c>
      <c r="E179" s="25">
        <v>0.15</v>
      </c>
      <c r="F179" s="22">
        <v>0.75</v>
      </c>
    </row>
    <row r="180" spans="1:6" x14ac:dyDescent="0.3">
      <c r="A180" s="1" t="s">
        <v>5</v>
      </c>
      <c r="B180" s="2">
        <v>45867</v>
      </c>
      <c r="C180" s="4">
        <v>1170.8138857566598</v>
      </c>
      <c r="D180" s="4">
        <v>1072.610898293721</v>
      </c>
      <c r="E180" s="25">
        <v>0.15</v>
      </c>
      <c r="F180" s="22">
        <v>0.75</v>
      </c>
    </row>
    <row r="181" spans="1:6" x14ac:dyDescent="0.3">
      <c r="A181" s="1" t="s">
        <v>6</v>
      </c>
      <c r="B181" s="2">
        <v>45868</v>
      </c>
      <c r="C181" s="4">
        <v>1235.6692721015634</v>
      </c>
      <c r="D181" s="4">
        <v>1073.0863911752188</v>
      </c>
      <c r="E181" s="25">
        <v>0.15</v>
      </c>
      <c r="F181" s="22">
        <v>0.75</v>
      </c>
    </row>
    <row r="182" spans="1:6" x14ac:dyDescent="0.3">
      <c r="A182" s="1" t="s">
        <v>7</v>
      </c>
      <c r="B182" s="2">
        <v>45869</v>
      </c>
      <c r="C182" s="4">
        <v>1207.2561980116775</v>
      </c>
      <c r="D182" s="4">
        <v>1073.9429804948209</v>
      </c>
      <c r="E182" s="25">
        <v>0.15</v>
      </c>
      <c r="F182" s="22">
        <v>0.75</v>
      </c>
    </row>
    <row r="183" spans="1:6" x14ac:dyDescent="0.3">
      <c r="A183" s="1" t="s">
        <v>8</v>
      </c>
      <c r="B183" s="2">
        <v>45870</v>
      </c>
      <c r="C183" s="4">
        <v>1079.5119999999999</v>
      </c>
      <c r="D183" s="4">
        <v>1064.158897724157</v>
      </c>
      <c r="E183" s="25">
        <v>0.15</v>
      </c>
      <c r="F183" s="22">
        <v>0.75</v>
      </c>
    </row>
    <row r="184" spans="1:6" x14ac:dyDescent="0.3">
      <c r="A184" s="1" t="s">
        <v>2</v>
      </c>
      <c r="B184" s="2">
        <v>45871</v>
      </c>
      <c r="C184" s="4">
        <v>720.26</v>
      </c>
      <c r="D184" s="4">
        <v>1063.0695859828397</v>
      </c>
      <c r="E184" s="25">
        <v>0.15</v>
      </c>
      <c r="F184" s="22">
        <v>0.75</v>
      </c>
    </row>
    <row r="185" spans="1:6" x14ac:dyDescent="0.3">
      <c r="A185" s="1" t="s">
        <v>3</v>
      </c>
      <c r="B185" s="2">
        <v>45872</v>
      </c>
      <c r="C185" s="4">
        <v>400.61152673060155</v>
      </c>
      <c r="D185" s="4">
        <v>1073.5418030779786</v>
      </c>
      <c r="E185" s="25">
        <v>0.15</v>
      </c>
      <c r="F185" s="22">
        <v>0.75</v>
      </c>
    </row>
    <row r="186" spans="1:6" x14ac:dyDescent="0.3">
      <c r="A186" s="1" t="s">
        <v>4</v>
      </c>
      <c r="B186" s="2">
        <v>45873</v>
      </c>
      <c r="C186" s="4">
        <v>1208.6315161516532</v>
      </c>
      <c r="D186" s="4">
        <v>1059.7797157929986</v>
      </c>
      <c r="E186" s="25">
        <v>0.15</v>
      </c>
      <c r="F186" s="22">
        <v>0.75</v>
      </c>
    </row>
    <row r="187" spans="1:6" x14ac:dyDescent="0.3">
      <c r="A187" s="1" t="s">
        <v>5</v>
      </c>
      <c r="B187" s="2">
        <v>45874</v>
      </c>
      <c r="C187" s="4">
        <v>1228.9993954461588</v>
      </c>
      <c r="D187" s="4">
        <v>1060.7588592929328</v>
      </c>
      <c r="E187" s="25">
        <v>0.15</v>
      </c>
      <c r="F187" s="22">
        <v>0.75</v>
      </c>
    </row>
    <row r="188" spans="1:6" x14ac:dyDescent="0.3">
      <c r="A188" s="1" t="s">
        <v>6</v>
      </c>
      <c r="B188" s="2">
        <v>45875</v>
      </c>
      <c r="C188" s="4">
        <v>1117.1030683009496</v>
      </c>
      <c r="D188" s="4">
        <v>1065.4096734013808</v>
      </c>
      <c r="E188" s="25">
        <v>0.15</v>
      </c>
      <c r="F188" s="22">
        <v>0.75</v>
      </c>
    </row>
    <row r="189" spans="1:6" x14ac:dyDescent="0.3">
      <c r="A189" s="1" t="s">
        <v>7</v>
      </c>
      <c r="B189" s="2">
        <v>45876</v>
      </c>
      <c r="C189" s="4">
        <v>1157.0325525606961</v>
      </c>
      <c r="D189" s="4">
        <v>1063.6686790397403</v>
      </c>
      <c r="E189" s="25">
        <v>0.15</v>
      </c>
      <c r="F189" s="22">
        <v>0.75</v>
      </c>
    </row>
    <row r="190" spans="1:6" x14ac:dyDescent="0.3">
      <c r="A190" s="1" t="s">
        <v>8</v>
      </c>
      <c r="B190" s="2">
        <v>45877</v>
      </c>
      <c r="C190" s="4">
        <v>1103.750474284949</v>
      </c>
      <c r="D190" s="4">
        <v>1064.334071433243</v>
      </c>
      <c r="E190" s="25">
        <v>0.15</v>
      </c>
      <c r="F190" s="22">
        <v>0.75</v>
      </c>
    </row>
    <row r="191" spans="1:6" x14ac:dyDescent="0.3">
      <c r="A191" s="1" t="s">
        <v>2</v>
      </c>
      <c r="B191" s="2">
        <v>45878</v>
      </c>
      <c r="C191" s="4">
        <v>700.17225751754245</v>
      </c>
      <c r="D191" s="4">
        <v>1064.6517813784646</v>
      </c>
      <c r="E191" s="25">
        <v>0.15</v>
      </c>
      <c r="F191" s="22">
        <v>0.75</v>
      </c>
    </row>
    <row r="192" spans="1:6" x14ac:dyDescent="0.3">
      <c r="A192" s="1" t="s">
        <v>3</v>
      </c>
      <c r="B192" s="2">
        <v>45879</v>
      </c>
      <c r="C192" s="4">
        <v>403.28839785372122</v>
      </c>
      <c r="D192" s="4">
        <v>1074.7491671773739</v>
      </c>
      <c r="E192" s="25">
        <v>0.15</v>
      </c>
      <c r="F192" s="22">
        <v>0.75</v>
      </c>
    </row>
    <row r="193" spans="1:6" x14ac:dyDescent="0.3">
      <c r="A193" s="1" t="s">
        <v>4</v>
      </c>
      <c r="B193" s="2">
        <v>45880</v>
      </c>
      <c r="C193" s="4">
        <v>1171.3659214850873</v>
      </c>
      <c r="D193" s="4">
        <v>1064.9896387122242</v>
      </c>
      <c r="E193" s="25">
        <v>0.15</v>
      </c>
      <c r="F193" s="22">
        <v>0.75</v>
      </c>
    </row>
    <row r="194" spans="1:6" x14ac:dyDescent="0.3">
      <c r="A194" s="1" t="s">
        <v>5</v>
      </c>
      <c r="B194" s="2">
        <v>45881</v>
      </c>
      <c r="C194" s="4">
        <v>1225.3920000000001</v>
      </c>
      <c r="D194" s="4">
        <v>1064.1588977241568</v>
      </c>
      <c r="E194" s="25">
        <v>0.15</v>
      </c>
      <c r="F194" s="22">
        <v>0.75</v>
      </c>
    </row>
    <row r="195" spans="1:6" x14ac:dyDescent="0.3">
      <c r="A195" s="1" t="s">
        <v>6</v>
      </c>
      <c r="B195" s="2">
        <v>45882</v>
      </c>
      <c r="C195" s="4">
        <v>1128.8347799140765</v>
      </c>
      <c r="D195" s="4">
        <v>1065.4585084469734</v>
      </c>
      <c r="E195" s="25">
        <v>0.15</v>
      </c>
      <c r="F195" s="22">
        <v>0.75</v>
      </c>
    </row>
    <row r="196" spans="1:6" x14ac:dyDescent="0.3">
      <c r="A196" s="1" t="s">
        <v>7</v>
      </c>
      <c r="B196" s="2">
        <v>45883</v>
      </c>
      <c r="C196" s="4">
        <v>1076.8805908581392</v>
      </c>
      <c r="D196" s="4">
        <v>1066.2748397868772</v>
      </c>
      <c r="E196" s="25">
        <v>0.15</v>
      </c>
      <c r="F196" s="22">
        <v>0.75</v>
      </c>
    </row>
    <row r="197" spans="1:6" x14ac:dyDescent="0.3">
      <c r="A197" s="1" t="s">
        <v>8</v>
      </c>
      <c r="B197" s="2">
        <v>45884</v>
      </c>
      <c r="C197" s="4">
        <v>1037.961</v>
      </c>
      <c r="D197" s="4">
        <v>1061.929012747107</v>
      </c>
      <c r="E197" s="25">
        <v>0.15</v>
      </c>
      <c r="F197" s="22">
        <v>0.75</v>
      </c>
    </row>
    <row r="198" spans="1:6" x14ac:dyDescent="0.3">
      <c r="A198" s="1" t="s">
        <v>2</v>
      </c>
      <c r="B198" s="2">
        <v>45885</v>
      </c>
      <c r="C198" s="4">
        <v>641.29275809618787</v>
      </c>
      <c r="D198" s="4">
        <v>1063.3575191356902</v>
      </c>
      <c r="E198" s="25">
        <v>0.15</v>
      </c>
      <c r="F198" s="22">
        <v>0.75</v>
      </c>
    </row>
    <row r="199" spans="1:6" x14ac:dyDescent="0.3">
      <c r="A199" s="1" t="s">
        <v>3</v>
      </c>
      <c r="B199" s="2">
        <v>45886</v>
      </c>
      <c r="C199" s="4">
        <v>421.30177630442461</v>
      </c>
      <c r="D199" s="4">
        <v>1072.0124208867255</v>
      </c>
      <c r="E199" s="25">
        <v>0.15</v>
      </c>
      <c r="F199" s="22">
        <v>0.75</v>
      </c>
    </row>
    <row r="200" spans="1:6" x14ac:dyDescent="0.3">
      <c r="A200" s="1" t="s">
        <v>4</v>
      </c>
      <c r="B200" s="2">
        <v>45887</v>
      </c>
      <c r="C200" s="4">
        <v>1122.7223564955307</v>
      </c>
      <c r="D200" s="4">
        <v>1067.7398632639511</v>
      </c>
      <c r="E200" s="25">
        <v>0.15</v>
      </c>
      <c r="F200" s="22">
        <v>0.75</v>
      </c>
    </row>
    <row r="201" spans="1:6" x14ac:dyDescent="0.3">
      <c r="A201" s="1" t="s">
        <v>5</v>
      </c>
      <c r="B201" s="2">
        <v>45888</v>
      </c>
      <c r="C201" s="4">
        <v>1122.3767442565613</v>
      </c>
      <c r="D201" s="4">
        <v>1065.7171658125103</v>
      </c>
      <c r="E201" s="25">
        <v>0.15</v>
      </c>
      <c r="F201" s="22">
        <v>0.75</v>
      </c>
    </row>
    <row r="202" spans="1:6" x14ac:dyDescent="0.3">
      <c r="A202" s="1" t="s">
        <v>6</v>
      </c>
      <c r="B202" s="2">
        <v>45889</v>
      </c>
      <c r="C202" s="4">
        <v>1181.3733803934815</v>
      </c>
      <c r="D202" s="4">
        <v>1059.8154111838044</v>
      </c>
      <c r="E202" s="25">
        <v>0.15</v>
      </c>
      <c r="F202" s="22">
        <v>0.75</v>
      </c>
    </row>
    <row r="203" spans="1:6" x14ac:dyDescent="0.3">
      <c r="A203" s="1" t="s">
        <v>7</v>
      </c>
      <c r="B203" s="2">
        <v>45890</v>
      </c>
      <c r="C203" s="4">
        <v>1083.6545932997112</v>
      </c>
      <c r="D203" s="4">
        <v>1064.0092011434019</v>
      </c>
      <c r="E203" s="25">
        <v>0.15</v>
      </c>
      <c r="F203" s="22">
        <v>0.75</v>
      </c>
    </row>
    <row r="204" spans="1:6" x14ac:dyDescent="0.3">
      <c r="A204" s="1" t="s">
        <v>8</v>
      </c>
      <c r="B204" s="2">
        <v>45891</v>
      </c>
      <c r="C204" s="4">
        <v>958.66379150322359</v>
      </c>
      <c r="D204" s="4">
        <v>1063.7834312028035</v>
      </c>
      <c r="E204" s="25">
        <v>0.15</v>
      </c>
      <c r="F204" s="22">
        <v>0.75</v>
      </c>
    </row>
    <row r="205" spans="1:6" x14ac:dyDescent="0.3">
      <c r="A205" s="1" t="s">
        <v>2</v>
      </c>
      <c r="B205" s="2">
        <v>45892</v>
      </c>
      <c r="C205" s="4">
        <v>719.20912347270371</v>
      </c>
      <c r="D205" s="4">
        <v>1061.0976283974355</v>
      </c>
      <c r="E205" s="25">
        <v>0.15</v>
      </c>
      <c r="F205" s="22">
        <v>0.75</v>
      </c>
    </row>
    <row r="206" spans="1:6" x14ac:dyDescent="0.3">
      <c r="A206" s="1" t="s">
        <v>3</v>
      </c>
      <c r="B206" s="2">
        <v>45893</v>
      </c>
      <c r="C206" s="4">
        <v>358.64802227096413</v>
      </c>
      <c r="D206" s="4">
        <v>1073.3823264158229</v>
      </c>
      <c r="E206" s="25">
        <v>0.15</v>
      </c>
      <c r="F206" s="22">
        <v>0.75</v>
      </c>
    </row>
    <row r="207" spans="1:6" x14ac:dyDescent="0.3">
      <c r="A207" s="1" t="s">
        <v>4</v>
      </c>
      <c r="B207" s="2">
        <v>45894</v>
      </c>
      <c r="C207" s="4">
        <v>1186.7925460502984</v>
      </c>
      <c r="D207" s="4">
        <v>1063.5071511883789</v>
      </c>
      <c r="E207" s="25">
        <v>0.15</v>
      </c>
      <c r="F207" s="22">
        <v>0.75</v>
      </c>
    </row>
    <row r="208" spans="1:6" x14ac:dyDescent="0.3">
      <c r="A208" s="1" t="s">
        <v>5</v>
      </c>
      <c r="B208" s="2">
        <v>45895</v>
      </c>
      <c r="C208" s="4">
        <v>1216.252</v>
      </c>
      <c r="D208" s="4">
        <v>1063.5138112825302</v>
      </c>
      <c r="E208" s="25">
        <v>0.15</v>
      </c>
      <c r="F208" s="22">
        <v>0.75</v>
      </c>
    </row>
    <row r="209" spans="1:6" x14ac:dyDescent="0.3">
      <c r="A209" s="1" t="s">
        <v>6</v>
      </c>
      <c r="B209" s="2">
        <v>45896</v>
      </c>
      <c r="C209" s="4">
        <v>1227.1479999999999</v>
      </c>
      <c r="D209" s="4">
        <v>1062.2408218079643</v>
      </c>
      <c r="E209" s="25">
        <v>0.15</v>
      </c>
      <c r="F209" s="22">
        <v>0.75</v>
      </c>
    </row>
    <row r="210" spans="1:6" x14ac:dyDescent="0.3">
      <c r="A210" s="1" t="s">
        <v>7</v>
      </c>
      <c r="B210" s="2">
        <v>45897</v>
      </c>
      <c r="C210" s="4">
        <v>1059.4447537675924</v>
      </c>
      <c r="D210" s="4">
        <v>1062.5329568432335</v>
      </c>
      <c r="E210" s="25">
        <v>0.15</v>
      </c>
      <c r="F210" s="22">
        <v>0.75</v>
      </c>
    </row>
    <row r="211" spans="1:6" x14ac:dyDescent="0.3">
      <c r="A211" s="1" t="s">
        <v>8</v>
      </c>
      <c r="B211" s="2">
        <v>45898</v>
      </c>
      <c r="C211" s="4">
        <v>1012.0200000000002</v>
      </c>
      <c r="D211" s="4">
        <v>1063.38362878204</v>
      </c>
      <c r="E211" s="25">
        <v>0.15</v>
      </c>
      <c r="F211" s="22">
        <v>0.75</v>
      </c>
    </row>
    <row r="212" spans="1:6" x14ac:dyDescent="0.3">
      <c r="A212" s="1" t="s">
        <v>2</v>
      </c>
      <c r="B212" s="2">
        <v>45899</v>
      </c>
      <c r="C212" s="4">
        <v>705.28372081120835</v>
      </c>
      <c r="D212" s="4">
        <v>1061.59084158013</v>
      </c>
      <c r="E212" s="25">
        <v>0.15</v>
      </c>
      <c r="F212" s="22">
        <v>0.75</v>
      </c>
    </row>
    <row r="213" spans="1:6" x14ac:dyDescent="0.3">
      <c r="A213" s="1" t="s">
        <v>3</v>
      </c>
      <c r="B213" s="2">
        <v>45900</v>
      </c>
      <c r="C213" s="4">
        <v>399.28715724008498</v>
      </c>
      <c r="D213" s="4">
        <v>1070.7815876832935</v>
      </c>
      <c r="E213" s="25">
        <v>0.15</v>
      </c>
      <c r="F213" s="22">
        <v>0.75</v>
      </c>
    </row>
    <row r="214" spans="1:6" x14ac:dyDescent="0.3">
      <c r="A214" s="1" t="s">
        <v>4</v>
      </c>
      <c r="B214" s="2">
        <v>45901</v>
      </c>
      <c r="C214" s="4">
        <v>708</v>
      </c>
      <c r="D214" s="4">
        <v>1074.4350282485875</v>
      </c>
      <c r="E214" s="25">
        <v>0.15</v>
      </c>
      <c r="F214" s="22">
        <v>0.75</v>
      </c>
    </row>
    <row r="215" spans="1:6" x14ac:dyDescent="0.3">
      <c r="A215" s="1" t="s">
        <v>5</v>
      </c>
      <c r="B215" s="2">
        <v>45902</v>
      </c>
      <c r="C215" s="4">
        <v>1344</v>
      </c>
      <c r="D215" s="4">
        <v>1080.6547619047619</v>
      </c>
      <c r="E215" s="25">
        <v>0.15</v>
      </c>
      <c r="F215" s="22">
        <v>0.75</v>
      </c>
    </row>
    <row r="216" spans="1:6" x14ac:dyDescent="0.3">
      <c r="A216" s="1" t="s">
        <v>6</v>
      </c>
      <c r="B216" s="2">
        <v>45903</v>
      </c>
      <c r="C216" s="4">
        <v>1324</v>
      </c>
      <c r="D216" s="4">
        <v>1085.8761329305137</v>
      </c>
      <c r="E216" s="25">
        <v>0.15</v>
      </c>
      <c r="F216" s="22">
        <v>0.75</v>
      </c>
    </row>
    <row r="217" spans="1:6" x14ac:dyDescent="0.3">
      <c r="A217" s="1" t="s">
        <v>7</v>
      </c>
      <c r="B217" s="2">
        <v>45904</v>
      </c>
      <c r="C217" s="4">
        <v>1242</v>
      </c>
      <c r="D217" s="4">
        <v>1084.7423510466988</v>
      </c>
      <c r="E217" s="25">
        <v>0.15</v>
      </c>
      <c r="F217" s="22">
        <v>0.75</v>
      </c>
    </row>
    <row r="218" spans="1:6" x14ac:dyDescent="0.3">
      <c r="A218" s="1" t="s">
        <v>8</v>
      </c>
      <c r="B218" s="2">
        <v>45905</v>
      </c>
      <c r="C218" s="4">
        <v>1122</v>
      </c>
      <c r="D218" s="4">
        <v>1092.2014260249555</v>
      </c>
      <c r="E218" s="25">
        <v>0.15</v>
      </c>
      <c r="F218" s="22">
        <v>0.75</v>
      </c>
    </row>
    <row r="219" spans="1:6" x14ac:dyDescent="0.3">
      <c r="A219" s="1" t="s">
        <v>2</v>
      </c>
      <c r="B219" s="2">
        <v>45906</v>
      </c>
      <c r="C219" s="4">
        <v>885</v>
      </c>
      <c r="D219" s="4">
        <v>1084.8870056497176</v>
      </c>
      <c r="E219" s="25">
        <v>0.15</v>
      </c>
      <c r="F219" s="22">
        <v>0.75</v>
      </c>
    </row>
    <row r="220" spans="1:6" x14ac:dyDescent="0.3">
      <c r="A220" s="1" t="s">
        <v>3</v>
      </c>
      <c r="B220" s="2">
        <v>45907</v>
      </c>
      <c r="C220" s="4">
        <v>508</v>
      </c>
      <c r="D220" s="4">
        <v>1095.0787401574803</v>
      </c>
      <c r="E220" s="25">
        <v>0.15</v>
      </c>
      <c r="F220" s="22">
        <v>0.75</v>
      </c>
    </row>
    <row r="221" spans="1:6" x14ac:dyDescent="0.3">
      <c r="A221" s="1" t="s">
        <v>4</v>
      </c>
      <c r="B221" s="2">
        <v>45908</v>
      </c>
      <c r="C221" s="4">
        <v>1386</v>
      </c>
      <c r="D221" s="4">
        <v>1081.4213564213564</v>
      </c>
      <c r="E221" s="25">
        <v>0.15</v>
      </c>
      <c r="F221" s="22">
        <v>0.75</v>
      </c>
    </row>
    <row r="222" spans="1:6" x14ac:dyDescent="0.3">
      <c r="A222" s="1" t="s">
        <v>5</v>
      </c>
      <c r="B222" s="2">
        <v>45909</v>
      </c>
      <c r="C222" s="4">
        <v>1354</v>
      </c>
      <c r="D222" s="4">
        <v>1085.2658788774004</v>
      </c>
      <c r="E222" s="25">
        <v>0.15</v>
      </c>
      <c r="F222" s="22">
        <v>0.75</v>
      </c>
    </row>
    <row r="223" spans="1:6" x14ac:dyDescent="0.3">
      <c r="A223" s="1" t="s">
        <v>6</v>
      </c>
      <c r="B223" s="2">
        <v>45910</v>
      </c>
      <c r="C223" s="4">
        <v>1285</v>
      </c>
      <c r="D223" s="4">
        <v>1083.3657587548639</v>
      </c>
      <c r="E223" s="25">
        <v>0.15</v>
      </c>
      <c r="F223" s="22">
        <v>0.75</v>
      </c>
    </row>
    <row r="224" spans="1:6" x14ac:dyDescent="0.3">
      <c r="A224" s="1" t="s">
        <v>7</v>
      </c>
      <c r="B224" s="2">
        <v>45911</v>
      </c>
      <c r="C224" s="4">
        <v>1142</v>
      </c>
      <c r="D224" s="4">
        <v>1088.047285464098</v>
      </c>
      <c r="E224" s="25">
        <v>0.15</v>
      </c>
      <c r="F224" s="22">
        <v>0.75</v>
      </c>
    </row>
    <row r="225" spans="1:6" x14ac:dyDescent="0.3">
      <c r="A225" s="1" t="s">
        <v>8</v>
      </c>
      <c r="B225" s="2">
        <v>45912</v>
      </c>
      <c r="C225" s="4">
        <v>1071</v>
      </c>
      <c r="D225" s="4">
        <v>1093.90756302521</v>
      </c>
      <c r="E225" s="25">
        <v>0.15</v>
      </c>
      <c r="F225" s="22">
        <v>0.75</v>
      </c>
    </row>
    <row r="226" spans="1:6" x14ac:dyDescent="0.3">
      <c r="A226" s="1" t="s">
        <v>2</v>
      </c>
      <c r="B226" s="2">
        <v>45913</v>
      </c>
      <c r="C226" s="4">
        <v>868</v>
      </c>
      <c r="D226" s="4">
        <v>1093.4331797235022</v>
      </c>
      <c r="E226" s="25">
        <v>0.15</v>
      </c>
      <c r="F226" s="22">
        <v>0.75</v>
      </c>
    </row>
    <row r="227" spans="1:6" x14ac:dyDescent="0.3">
      <c r="A227" s="1" t="s">
        <v>3</v>
      </c>
      <c r="B227" s="2">
        <v>45914</v>
      </c>
      <c r="C227" s="4">
        <v>500</v>
      </c>
      <c r="D227" s="4">
        <v>1101.8</v>
      </c>
      <c r="E227" s="25">
        <v>0.15</v>
      </c>
      <c r="F227" s="22">
        <v>0.75</v>
      </c>
    </row>
    <row r="228" spans="1:6" x14ac:dyDescent="0.3">
      <c r="A228" s="1" t="s">
        <v>4</v>
      </c>
      <c r="B228" s="2">
        <v>45915</v>
      </c>
      <c r="C228" s="4">
        <v>1308</v>
      </c>
      <c r="D228" s="4">
        <v>1084.7859327217125</v>
      </c>
      <c r="E228" s="25">
        <v>0.15</v>
      </c>
      <c r="F228" s="22">
        <v>0.75</v>
      </c>
    </row>
    <row r="229" spans="1:6" x14ac:dyDescent="0.3">
      <c r="A229" s="1" t="s">
        <v>5</v>
      </c>
      <c r="B229" s="2">
        <v>45916</v>
      </c>
      <c r="C229" s="4">
        <v>1218</v>
      </c>
      <c r="D229" s="4">
        <v>1090.3530377668308</v>
      </c>
      <c r="E229" s="25">
        <v>0.15</v>
      </c>
      <c r="F229" s="22">
        <v>0.75</v>
      </c>
    </row>
    <row r="230" spans="1:6" x14ac:dyDescent="0.3">
      <c r="A230" s="1" t="s">
        <v>6</v>
      </c>
      <c r="B230" s="2">
        <v>45917</v>
      </c>
      <c r="C230" s="4">
        <v>1121</v>
      </c>
      <c r="D230" s="4">
        <v>1084.2328278322925</v>
      </c>
      <c r="E230" s="25">
        <v>0.15</v>
      </c>
      <c r="F230" s="22">
        <v>0.75</v>
      </c>
    </row>
    <row r="231" spans="1:6" x14ac:dyDescent="0.3">
      <c r="A231" s="1" t="s">
        <v>7</v>
      </c>
      <c r="B231" s="2">
        <v>45918</v>
      </c>
      <c r="C231" s="4">
        <v>1152</v>
      </c>
      <c r="D231" s="4">
        <v>1086.8055555555557</v>
      </c>
      <c r="E231" s="25">
        <v>0.15</v>
      </c>
      <c r="F231" s="22">
        <v>0.75</v>
      </c>
    </row>
    <row r="232" spans="1:6" x14ac:dyDescent="0.3">
      <c r="A232" s="1" t="s">
        <v>8</v>
      </c>
      <c r="B232" s="2">
        <v>45919</v>
      </c>
      <c r="C232" s="4">
        <v>1265</v>
      </c>
      <c r="D232" s="4">
        <v>1089.0316205533597</v>
      </c>
      <c r="E232" s="25">
        <v>0.15</v>
      </c>
      <c r="F232" s="22">
        <v>0.75</v>
      </c>
    </row>
    <row r="233" spans="1:6" x14ac:dyDescent="0.3">
      <c r="A233" s="1" t="s">
        <v>2</v>
      </c>
      <c r="B233" s="2">
        <v>45920</v>
      </c>
      <c r="C233" s="4">
        <v>1034</v>
      </c>
      <c r="D233" s="4">
        <v>1090.9574468085107</v>
      </c>
      <c r="E233" s="25">
        <v>0.15</v>
      </c>
      <c r="F233" s="22">
        <v>0.75</v>
      </c>
    </row>
    <row r="234" spans="1:6" x14ac:dyDescent="0.3">
      <c r="A234" s="1" t="s">
        <v>3</v>
      </c>
      <c r="B234" s="2">
        <v>45921</v>
      </c>
      <c r="C234" s="4">
        <v>595</v>
      </c>
      <c r="D234" s="4">
        <v>1094.9159663865546</v>
      </c>
      <c r="E234" s="25">
        <v>0.15</v>
      </c>
      <c r="F234" s="22">
        <v>0.75</v>
      </c>
    </row>
    <row r="235" spans="1:6" x14ac:dyDescent="0.3">
      <c r="A235" s="1" t="s">
        <v>4</v>
      </c>
      <c r="B235" s="2">
        <v>45922</v>
      </c>
      <c r="C235" s="4">
        <v>1795</v>
      </c>
      <c r="D235" s="4">
        <v>1090.5153203342618</v>
      </c>
      <c r="E235" s="25">
        <v>0.15</v>
      </c>
      <c r="F235" s="22">
        <v>0.75</v>
      </c>
    </row>
    <row r="236" spans="1:6" x14ac:dyDescent="0.3">
      <c r="A236" s="1" t="s">
        <v>5</v>
      </c>
      <c r="B236" s="2">
        <v>45923</v>
      </c>
      <c r="C236" s="4">
        <v>1989</v>
      </c>
      <c r="D236" s="4">
        <v>1087.3428858722975</v>
      </c>
      <c r="E236" s="25">
        <v>0.15</v>
      </c>
      <c r="F236" s="22">
        <v>0.75</v>
      </c>
    </row>
    <row r="237" spans="1:6" x14ac:dyDescent="0.3">
      <c r="A237" s="1" t="s">
        <v>6</v>
      </c>
      <c r="B237" s="2">
        <v>45924</v>
      </c>
      <c r="C237" s="4">
        <v>1661</v>
      </c>
      <c r="D237" s="4">
        <v>1089.1782059000602</v>
      </c>
      <c r="E237" s="25">
        <v>0.15</v>
      </c>
      <c r="F237" s="22">
        <v>0.75</v>
      </c>
    </row>
    <row r="238" spans="1:6" x14ac:dyDescent="0.3">
      <c r="A238" s="1" t="s">
        <v>7</v>
      </c>
      <c r="B238" s="2">
        <v>45925</v>
      </c>
      <c r="C238" s="4">
        <v>1549</v>
      </c>
      <c r="D238" s="4">
        <v>1086.4590058102001</v>
      </c>
      <c r="E238" s="25">
        <v>0.15</v>
      </c>
      <c r="F238" s="22">
        <v>0.75</v>
      </c>
    </row>
    <row r="239" spans="1:6" x14ac:dyDescent="0.3">
      <c r="A239" s="1" t="s">
        <v>8</v>
      </c>
      <c r="B239" s="2">
        <v>45926</v>
      </c>
      <c r="C239" s="4">
        <v>1399</v>
      </c>
      <c r="D239" s="4">
        <v>1086.9013581129377</v>
      </c>
      <c r="E239" s="25">
        <v>0.15</v>
      </c>
      <c r="F239" s="22">
        <v>0.75</v>
      </c>
    </row>
    <row r="240" spans="1:6" x14ac:dyDescent="0.3">
      <c r="A240" s="1" t="s">
        <v>2</v>
      </c>
      <c r="B240" s="2">
        <v>45927</v>
      </c>
      <c r="C240" s="4">
        <v>1224</v>
      </c>
      <c r="D240" s="4">
        <v>1089.2156862745098</v>
      </c>
      <c r="E240" s="25">
        <v>0.15</v>
      </c>
      <c r="F240" s="22">
        <v>0.75</v>
      </c>
    </row>
    <row r="241" spans="1:6" x14ac:dyDescent="0.3">
      <c r="A241" s="1" t="s">
        <v>3</v>
      </c>
      <c r="B241" s="2">
        <v>45928</v>
      </c>
      <c r="C241" s="4">
        <v>730</v>
      </c>
      <c r="D241" s="4">
        <v>1094.3150684931506</v>
      </c>
      <c r="E241" s="25">
        <v>0.15</v>
      </c>
      <c r="F241" s="22">
        <v>0.75</v>
      </c>
    </row>
    <row r="242" spans="1:6" x14ac:dyDescent="0.3">
      <c r="A242" s="1" t="s">
        <v>4</v>
      </c>
      <c r="B242" s="2">
        <v>45929</v>
      </c>
      <c r="C242" s="4">
        <v>1761</v>
      </c>
      <c r="D242" s="4">
        <v>1081.2180579216354</v>
      </c>
      <c r="E242" s="25">
        <v>0.15</v>
      </c>
      <c r="F242" s="22">
        <v>0.75</v>
      </c>
    </row>
    <row r="243" spans="1:6" x14ac:dyDescent="0.3">
      <c r="A243" s="1" t="s">
        <v>5</v>
      </c>
      <c r="B243" s="2">
        <v>45930</v>
      </c>
      <c r="C243" s="4">
        <v>1584</v>
      </c>
      <c r="D243" s="4">
        <v>1085.9848484848485</v>
      </c>
      <c r="E243" s="25">
        <v>0.15</v>
      </c>
      <c r="F243" s="22">
        <v>0.75</v>
      </c>
    </row>
    <row r="244" spans="1:6" x14ac:dyDescent="0.3">
      <c r="A244" s="1" t="s">
        <v>6</v>
      </c>
      <c r="B244" s="2">
        <v>45931</v>
      </c>
      <c r="C244" s="4">
        <v>1579</v>
      </c>
      <c r="D244" s="4">
        <v>1141.9569347688409</v>
      </c>
      <c r="E244" s="25">
        <v>0.15</v>
      </c>
      <c r="F244" s="22">
        <v>0.75</v>
      </c>
    </row>
    <row r="245" spans="1:6" x14ac:dyDescent="0.3">
      <c r="A245" s="1" t="s">
        <v>7</v>
      </c>
      <c r="B245" s="2">
        <v>45932</v>
      </c>
      <c r="C245" s="4">
        <v>1540</v>
      </c>
      <c r="D245" s="4">
        <v>1141.9642857142858</v>
      </c>
      <c r="E245" s="25">
        <v>0.15</v>
      </c>
      <c r="F245" s="22">
        <v>0.75</v>
      </c>
    </row>
    <row r="246" spans="1:6" x14ac:dyDescent="0.3">
      <c r="A246" s="1" t="s">
        <v>8</v>
      </c>
      <c r="B246" s="2">
        <v>45933</v>
      </c>
      <c r="C246" s="4">
        <v>1502</v>
      </c>
      <c r="D246" s="4">
        <v>1141.9440745672437</v>
      </c>
      <c r="E246" s="25">
        <v>0.15</v>
      </c>
      <c r="F246" s="22">
        <v>0.75</v>
      </c>
    </row>
    <row r="247" spans="1:6" x14ac:dyDescent="0.3">
      <c r="A247" s="1" t="s">
        <v>2</v>
      </c>
      <c r="B247" s="2">
        <v>45934</v>
      </c>
      <c r="C247" s="4">
        <v>1233</v>
      </c>
      <c r="D247" s="4">
        <v>1141.9708029197079</v>
      </c>
      <c r="E247" s="25">
        <v>0.15</v>
      </c>
      <c r="F247" s="22">
        <v>0.75</v>
      </c>
    </row>
    <row r="248" spans="1:6" x14ac:dyDescent="0.3">
      <c r="A248" s="1" t="s">
        <v>3</v>
      </c>
      <c r="B248" s="2">
        <v>45935</v>
      </c>
      <c r="C248" s="4">
        <v>808</v>
      </c>
      <c r="D248" s="4">
        <v>1141.924504950495</v>
      </c>
      <c r="E248" s="25">
        <v>0.15</v>
      </c>
      <c r="F248" s="22">
        <v>0.75</v>
      </c>
    </row>
    <row r="249" spans="1:6" x14ac:dyDescent="0.3">
      <c r="A249" s="1" t="s">
        <v>4</v>
      </c>
      <c r="B249" s="2">
        <v>45936</v>
      </c>
      <c r="C249" s="4">
        <v>1444</v>
      </c>
      <c r="D249" s="4">
        <v>1141.9840720221607</v>
      </c>
      <c r="E249" s="25">
        <v>0.15</v>
      </c>
      <c r="F249" s="22">
        <v>0.75</v>
      </c>
    </row>
    <row r="250" spans="1:6" x14ac:dyDescent="0.3">
      <c r="A250" s="1" t="s">
        <v>5</v>
      </c>
      <c r="B250" s="2">
        <v>45937</v>
      </c>
      <c r="C250" s="4">
        <v>1406</v>
      </c>
      <c r="D250" s="4">
        <v>1141.9630156472263</v>
      </c>
      <c r="E250" s="25">
        <v>0.15</v>
      </c>
      <c r="F250" s="22">
        <v>0.75</v>
      </c>
    </row>
    <row r="251" spans="1:6" x14ac:dyDescent="0.3">
      <c r="A251" s="1" t="s">
        <v>6</v>
      </c>
      <c r="B251" s="2">
        <v>45938</v>
      </c>
      <c r="C251" s="4">
        <v>1347</v>
      </c>
      <c r="D251" s="4">
        <v>1141.9450631031923</v>
      </c>
      <c r="E251" s="25">
        <v>0.15</v>
      </c>
      <c r="F251" s="22">
        <v>0.75</v>
      </c>
    </row>
    <row r="252" spans="1:6" x14ac:dyDescent="0.3">
      <c r="A252" s="1" t="s">
        <v>7</v>
      </c>
      <c r="B252" s="2">
        <v>45939</v>
      </c>
      <c r="C252" s="4">
        <v>1355</v>
      </c>
      <c r="D252" s="4">
        <v>1141.9741697416973</v>
      </c>
      <c r="E252" s="25">
        <v>0.15</v>
      </c>
      <c r="F252" s="22">
        <v>0.75</v>
      </c>
    </row>
    <row r="253" spans="1:6" x14ac:dyDescent="0.3">
      <c r="A253" s="1" t="s">
        <v>8</v>
      </c>
      <c r="B253" s="2">
        <v>45940</v>
      </c>
      <c r="C253" s="4">
        <v>1309</v>
      </c>
      <c r="D253" s="4">
        <v>1141.9213139801375</v>
      </c>
      <c r="E253" s="25">
        <v>0.15</v>
      </c>
      <c r="F253" s="22">
        <v>0.75</v>
      </c>
    </row>
    <row r="254" spans="1:6" x14ac:dyDescent="0.3">
      <c r="A254" s="1" t="s">
        <v>2</v>
      </c>
      <c r="B254" s="2">
        <v>45941</v>
      </c>
      <c r="C254" s="4">
        <v>1102</v>
      </c>
      <c r="D254" s="4">
        <v>1141.9691470054447</v>
      </c>
      <c r="E254" s="25">
        <v>0.15</v>
      </c>
      <c r="F254" s="22">
        <v>0.75</v>
      </c>
    </row>
    <row r="255" spans="1:6" x14ac:dyDescent="0.3">
      <c r="A255" s="1" t="s">
        <v>3</v>
      </c>
      <c r="B255" s="2">
        <v>45942</v>
      </c>
      <c r="C255" s="4">
        <v>825</v>
      </c>
      <c r="D255" s="4">
        <v>1141.969696969697</v>
      </c>
      <c r="E255" s="25">
        <v>0.15</v>
      </c>
      <c r="F255" s="22">
        <v>0.75</v>
      </c>
    </row>
    <row r="256" spans="1:6" x14ac:dyDescent="0.3">
      <c r="A256" s="1" t="s">
        <v>4</v>
      </c>
      <c r="B256" s="2">
        <v>45943</v>
      </c>
      <c r="C256" s="4">
        <v>1425</v>
      </c>
      <c r="D256" s="4">
        <v>1141.9298245614036</v>
      </c>
      <c r="E256" s="25">
        <v>0.15</v>
      </c>
      <c r="F256" s="22">
        <v>0.75</v>
      </c>
    </row>
    <row r="257" spans="1:6" x14ac:dyDescent="0.3">
      <c r="A257" s="1" t="s">
        <v>5</v>
      </c>
      <c r="B257" s="2">
        <v>45944</v>
      </c>
      <c r="C257" s="4">
        <v>1386</v>
      </c>
      <c r="D257" s="4">
        <v>1141.9372294372295</v>
      </c>
      <c r="E257" s="25">
        <v>0.15</v>
      </c>
      <c r="F257" s="22">
        <v>0.75</v>
      </c>
    </row>
    <row r="258" spans="1:6" x14ac:dyDescent="0.3">
      <c r="A258" s="1" t="s">
        <v>6</v>
      </c>
      <c r="B258" s="2">
        <v>45945</v>
      </c>
      <c r="C258" s="4">
        <v>1347</v>
      </c>
      <c r="D258" s="4">
        <v>1141.9450631031923</v>
      </c>
      <c r="E258" s="25">
        <v>0.15</v>
      </c>
      <c r="F258" s="22">
        <v>0.75</v>
      </c>
    </row>
    <row r="259" spans="1:6" x14ac:dyDescent="0.3">
      <c r="A259" s="1" t="s">
        <v>7</v>
      </c>
      <c r="B259" s="2">
        <v>45946</v>
      </c>
      <c r="C259" s="4">
        <v>1309</v>
      </c>
      <c r="D259" s="4">
        <v>1141.9213139801375</v>
      </c>
      <c r="E259" s="25">
        <v>0.15</v>
      </c>
      <c r="F259" s="22">
        <v>0.75</v>
      </c>
    </row>
    <row r="260" spans="1:6" x14ac:dyDescent="0.3">
      <c r="A260" s="1" t="s">
        <v>8</v>
      </c>
      <c r="B260" s="2">
        <v>45947</v>
      </c>
      <c r="C260" s="4">
        <v>1270</v>
      </c>
      <c r="D260" s="4">
        <v>1141.9291338582677</v>
      </c>
      <c r="E260" s="25">
        <v>0.15</v>
      </c>
      <c r="F260" s="22">
        <v>0.75</v>
      </c>
    </row>
    <row r="261" spans="1:6" x14ac:dyDescent="0.3">
      <c r="A261" s="1" t="s">
        <v>2</v>
      </c>
      <c r="B261" s="2">
        <v>45948</v>
      </c>
      <c r="C261" s="4">
        <v>1084</v>
      </c>
      <c r="D261" s="4">
        <v>1141.9741697416973</v>
      </c>
      <c r="E261" s="25">
        <v>0.15</v>
      </c>
      <c r="F261" s="22">
        <v>0.75</v>
      </c>
    </row>
    <row r="262" spans="1:6" x14ac:dyDescent="0.3">
      <c r="A262" s="1" t="s">
        <v>3</v>
      </c>
      <c r="B262" s="2">
        <v>45949</v>
      </c>
      <c r="C262" s="4">
        <v>626</v>
      </c>
      <c r="D262" s="4">
        <v>1141.9329073482429</v>
      </c>
      <c r="E262" s="25">
        <v>0.15</v>
      </c>
      <c r="F262" s="22">
        <v>0.75</v>
      </c>
    </row>
    <row r="263" spans="1:6" x14ac:dyDescent="0.3">
      <c r="A263" s="1" t="s">
        <v>4</v>
      </c>
      <c r="B263" s="2">
        <v>45950</v>
      </c>
      <c r="C263" s="4">
        <v>1425</v>
      </c>
      <c r="D263" s="4">
        <v>1141.9298245614036</v>
      </c>
      <c r="E263" s="25">
        <v>0.15</v>
      </c>
      <c r="F263" s="22">
        <v>0.75</v>
      </c>
    </row>
    <row r="264" spans="1:6" x14ac:dyDescent="0.3">
      <c r="A264" s="1" t="s">
        <v>5</v>
      </c>
      <c r="B264" s="2">
        <v>45951</v>
      </c>
      <c r="C264" s="4">
        <v>1386</v>
      </c>
      <c r="D264" s="4">
        <v>1141.9372294372295</v>
      </c>
      <c r="E264" s="25">
        <v>0.15</v>
      </c>
      <c r="F264" s="22">
        <v>0.75</v>
      </c>
    </row>
    <row r="265" spans="1:6" x14ac:dyDescent="0.3">
      <c r="A265" s="1" t="s">
        <v>6</v>
      </c>
      <c r="B265" s="2">
        <v>45952</v>
      </c>
      <c r="C265" s="4">
        <v>1347</v>
      </c>
      <c r="D265" s="4">
        <v>1141.9450631031923</v>
      </c>
      <c r="E265" s="25">
        <v>0.15</v>
      </c>
      <c r="F265" s="22">
        <v>0.75</v>
      </c>
    </row>
    <row r="266" spans="1:6" x14ac:dyDescent="0.3">
      <c r="A266" s="1" t="s">
        <v>7</v>
      </c>
      <c r="B266" s="2">
        <v>45953</v>
      </c>
      <c r="C266" s="4">
        <v>1270</v>
      </c>
      <c r="D266" s="4">
        <v>1141.9291338582677</v>
      </c>
      <c r="E266" s="25">
        <v>0.15</v>
      </c>
      <c r="F266" s="22">
        <v>0.75</v>
      </c>
    </row>
    <row r="267" spans="1:6" x14ac:dyDescent="0.3">
      <c r="A267" s="1" t="s">
        <v>8</v>
      </c>
      <c r="B267" s="2">
        <v>45954</v>
      </c>
      <c r="C267" s="4">
        <v>1233</v>
      </c>
      <c r="D267" s="4">
        <v>1141.9708029197079</v>
      </c>
      <c r="E267" s="25">
        <v>0.15</v>
      </c>
      <c r="F267" s="22">
        <v>0.75</v>
      </c>
    </row>
    <row r="268" spans="1:6" x14ac:dyDescent="0.3">
      <c r="A268" s="1" t="s">
        <v>2</v>
      </c>
      <c r="B268" s="2">
        <v>45955</v>
      </c>
      <c r="C268" s="4">
        <v>872</v>
      </c>
      <c r="D268" s="4">
        <v>1142.0011467889908</v>
      </c>
      <c r="E268" s="25">
        <v>0.15</v>
      </c>
      <c r="F268" s="22">
        <v>0.75</v>
      </c>
    </row>
    <row r="269" spans="1:6" x14ac:dyDescent="0.3">
      <c r="A269" s="1" t="s">
        <v>3</v>
      </c>
      <c r="B269" s="2">
        <v>45956</v>
      </c>
      <c r="C269" s="4">
        <v>638</v>
      </c>
      <c r="D269" s="4">
        <v>1141.9278996865203</v>
      </c>
      <c r="E269" s="25">
        <v>0.15</v>
      </c>
      <c r="F269" s="22">
        <v>0.75</v>
      </c>
    </row>
    <row r="270" spans="1:6" x14ac:dyDescent="0.3">
      <c r="A270" s="1" t="s">
        <v>4</v>
      </c>
      <c r="B270" s="2">
        <v>45957</v>
      </c>
      <c r="C270" s="4">
        <v>1371</v>
      </c>
      <c r="D270" s="4">
        <v>1141.9401896425966</v>
      </c>
      <c r="E270" s="25">
        <v>0.15</v>
      </c>
      <c r="F270" s="22">
        <v>0.75</v>
      </c>
    </row>
    <row r="271" spans="1:6" x14ac:dyDescent="0.3">
      <c r="A271" s="1" t="s">
        <v>5</v>
      </c>
      <c r="B271" s="2">
        <v>45958</v>
      </c>
      <c r="C271" s="4">
        <v>1347</v>
      </c>
      <c r="D271" s="4">
        <v>1141.9450631031923</v>
      </c>
      <c r="E271" s="25">
        <v>0.15</v>
      </c>
      <c r="F271" s="22">
        <v>0.75</v>
      </c>
    </row>
    <row r="272" spans="1:6" x14ac:dyDescent="0.3">
      <c r="A272" s="1" t="s">
        <v>6</v>
      </c>
      <c r="B272" s="2">
        <v>45959</v>
      </c>
      <c r="C272" s="4">
        <v>1243</v>
      </c>
      <c r="D272" s="4">
        <v>1141.934835076428</v>
      </c>
      <c r="E272" s="25">
        <v>0.15</v>
      </c>
      <c r="F272" s="22">
        <v>0.75</v>
      </c>
    </row>
    <row r="273" spans="1:6" x14ac:dyDescent="0.3">
      <c r="A273" s="1" t="s">
        <v>7</v>
      </c>
      <c r="B273" s="2">
        <v>45960</v>
      </c>
      <c r="C273" s="4">
        <v>1275</v>
      </c>
      <c r="D273" s="4">
        <v>1141.9607843137255</v>
      </c>
      <c r="E273" s="25">
        <v>0.15</v>
      </c>
      <c r="F273" s="22">
        <v>0.75</v>
      </c>
    </row>
    <row r="274" spans="1:6" x14ac:dyDescent="0.3">
      <c r="A274" s="1" t="s">
        <v>8</v>
      </c>
      <c r="B274" s="2">
        <v>45961</v>
      </c>
      <c r="C274" s="4">
        <v>1198</v>
      </c>
      <c r="D274" s="4">
        <v>1141.9449081803004</v>
      </c>
      <c r="E274" s="25">
        <v>0.15</v>
      </c>
      <c r="F274" s="22">
        <v>0.75</v>
      </c>
    </row>
    <row r="275" spans="1:6" x14ac:dyDescent="0.3">
      <c r="A275" s="1" t="s">
        <v>2</v>
      </c>
      <c r="B275" s="2">
        <v>45962</v>
      </c>
      <c r="C275" s="4">
        <v>1054.4236000000001</v>
      </c>
      <c r="D275" s="4">
        <v>1156.9878841862037</v>
      </c>
      <c r="E275" s="25">
        <v>0.15</v>
      </c>
      <c r="F275" s="22">
        <v>0.75</v>
      </c>
    </row>
    <row r="276" spans="1:6" x14ac:dyDescent="0.3">
      <c r="A276" s="1" t="s">
        <v>3</v>
      </c>
      <c r="B276" s="2">
        <v>45963</v>
      </c>
      <c r="C276" s="4">
        <v>713.80090369107688</v>
      </c>
      <c r="D276" s="4">
        <v>1158.8454953750092</v>
      </c>
      <c r="E276" s="25">
        <v>0.15</v>
      </c>
      <c r="F276" s="22">
        <v>0.75</v>
      </c>
    </row>
    <row r="277" spans="1:6" x14ac:dyDescent="0.3">
      <c r="A277" s="1" t="s">
        <v>4</v>
      </c>
      <c r="B277" s="2">
        <v>45964</v>
      </c>
      <c r="C277" s="4">
        <v>1558.046526206218</v>
      </c>
      <c r="D277" s="4">
        <v>1157.6294211727425</v>
      </c>
      <c r="E277" s="25">
        <v>0.15</v>
      </c>
      <c r="F277" s="22">
        <v>0.75</v>
      </c>
    </row>
    <row r="278" spans="1:6" x14ac:dyDescent="0.3">
      <c r="A278" s="1" t="s">
        <v>5</v>
      </c>
      <c r="B278" s="2">
        <v>45965</v>
      </c>
      <c r="C278" s="4">
        <v>1520.5830317548198</v>
      </c>
      <c r="D278" s="4">
        <v>1157.5067620522025</v>
      </c>
      <c r="E278" s="25">
        <v>0.15</v>
      </c>
      <c r="F278" s="22">
        <v>0.75</v>
      </c>
    </row>
    <row r="279" spans="1:6" x14ac:dyDescent="0.3">
      <c r="A279" s="1" t="s">
        <v>6</v>
      </c>
      <c r="B279" s="2">
        <v>45966</v>
      </c>
      <c r="C279" s="4">
        <v>1480.1422388139767</v>
      </c>
      <c r="D279" s="4">
        <v>1157.7526670742095</v>
      </c>
      <c r="E279" s="25">
        <v>0.15</v>
      </c>
      <c r="F279" s="22">
        <v>0.75</v>
      </c>
    </row>
    <row r="280" spans="1:6" x14ac:dyDescent="0.3">
      <c r="A280" s="1" t="s">
        <v>7</v>
      </c>
      <c r="B280" s="2">
        <v>45967</v>
      </c>
      <c r="C280" s="4">
        <v>1381.4255301311509</v>
      </c>
      <c r="D280" s="4">
        <v>1158.0872525373643</v>
      </c>
      <c r="E280" s="25">
        <v>0.15</v>
      </c>
      <c r="F280" s="22">
        <v>0.75</v>
      </c>
    </row>
    <row r="281" spans="1:6" x14ac:dyDescent="0.3">
      <c r="A281" s="1" t="s">
        <v>8</v>
      </c>
      <c r="B281" s="2">
        <v>45968</v>
      </c>
      <c r="C281" s="4">
        <v>1330.4357588252112</v>
      </c>
      <c r="D281" s="4">
        <v>1157.944107733043</v>
      </c>
      <c r="E281" s="25">
        <v>0.15</v>
      </c>
      <c r="F281" s="22">
        <v>0.75</v>
      </c>
    </row>
    <row r="282" spans="1:6" x14ac:dyDescent="0.3">
      <c r="A282" s="1" t="s">
        <v>2</v>
      </c>
      <c r="B282" s="2">
        <v>45969</v>
      </c>
      <c r="C282" s="4">
        <v>1067.28798955814</v>
      </c>
      <c r="D282" s="4">
        <v>1157.1565773386119</v>
      </c>
      <c r="E282" s="25">
        <v>0.15</v>
      </c>
      <c r="F282" s="22">
        <v>0.75</v>
      </c>
    </row>
    <row r="283" spans="1:6" x14ac:dyDescent="0.3">
      <c r="A283" s="1" t="s">
        <v>3</v>
      </c>
      <c r="B283" s="2">
        <v>45970</v>
      </c>
      <c r="C283" s="4">
        <v>688.24249898223377</v>
      </c>
      <c r="D283" s="4">
        <v>1158.8785524447792</v>
      </c>
      <c r="E283" s="25">
        <v>0.15</v>
      </c>
      <c r="F283" s="22">
        <v>0.75</v>
      </c>
    </row>
    <row r="284" spans="1:6" x14ac:dyDescent="0.3">
      <c r="A284" s="1" t="s">
        <v>4</v>
      </c>
      <c r="B284" s="2">
        <v>45971</v>
      </c>
      <c r="C284" s="4">
        <v>1667.7052960715694</v>
      </c>
      <c r="D284" s="4">
        <v>1157.9667794881659</v>
      </c>
      <c r="E284" s="25">
        <v>0.15</v>
      </c>
      <c r="F284" s="22">
        <v>0.75</v>
      </c>
    </row>
    <row r="285" spans="1:6" x14ac:dyDescent="0.3">
      <c r="A285" s="1" t="s">
        <v>5</v>
      </c>
      <c r="B285" s="2">
        <v>45972</v>
      </c>
      <c r="C285" s="4">
        <v>1583.4929999999999</v>
      </c>
      <c r="D285" s="4">
        <v>1157.4373710524771</v>
      </c>
      <c r="E285" s="25">
        <v>0.15</v>
      </c>
      <c r="F285" s="22">
        <v>0.75</v>
      </c>
    </row>
    <row r="286" spans="1:6" x14ac:dyDescent="0.3">
      <c r="A286" s="1" t="s">
        <v>6</v>
      </c>
      <c r="B286" s="2">
        <v>45973</v>
      </c>
      <c r="C286" s="4">
        <v>1534.5860107957178</v>
      </c>
      <c r="D286" s="4">
        <v>1157.5760090462259</v>
      </c>
      <c r="E286" s="25">
        <v>0.15</v>
      </c>
      <c r="F286" s="22">
        <v>0.75</v>
      </c>
    </row>
    <row r="287" spans="1:6" x14ac:dyDescent="0.3">
      <c r="A287" s="1" t="s">
        <v>7</v>
      </c>
      <c r="B287" s="2">
        <v>45974</v>
      </c>
      <c r="C287" s="4">
        <v>1431.4745087188494</v>
      </c>
      <c r="D287" s="4">
        <v>1157.5539929786607</v>
      </c>
      <c r="E287" s="25">
        <v>0.15</v>
      </c>
      <c r="F287" s="22">
        <v>0.75</v>
      </c>
    </row>
    <row r="288" spans="1:6" x14ac:dyDescent="0.3">
      <c r="A288" s="1" t="s">
        <v>8</v>
      </c>
      <c r="B288" s="2">
        <v>45975</v>
      </c>
      <c r="C288" s="4">
        <v>1406.6442967074283</v>
      </c>
      <c r="D288" s="4">
        <v>1157.820244639646</v>
      </c>
      <c r="E288" s="25">
        <v>0.15</v>
      </c>
      <c r="F288" s="22">
        <v>0.75</v>
      </c>
    </row>
    <row r="289" spans="1:6" x14ac:dyDescent="0.3">
      <c r="A289" s="1" t="s">
        <v>2</v>
      </c>
      <c r="B289" s="2">
        <v>45976</v>
      </c>
      <c r="C289" s="4">
        <v>1058.6024659024301</v>
      </c>
      <c r="D289" s="4">
        <v>1156.9810514218987</v>
      </c>
      <c r="E289" s="25">
        <v>0.15</v>
      </c>
      <c r="F289" s="22">
        <v>0.75</v>
      </c>
    </row>
    <row r="290" spans="1:6" x14ac:dyDescent="0.3">
      <c r="A290" s="1" t="s">
        <v>3</v>
      </c>
      <c r="B290" s="2">
        <v>45977</v>
      </c>
      <c r="C290" s="4">
        <v>681.16519282210902</v>
      </c>
      <c r="D290" s="4">
        <v>1158.0715072914604</v>
      </c>
      <c r="E290" s="25">
        <v>0.15</v>
      </c>
      <c r="F290" s="22">
        <v>0.75</v>
      </c>
    </row>
    <row r="291" spans="1:6" x14ac:dyDescent="0.3">
      <c r="A291" s="1" t="s">
        <v>4</v>
      </c>
      <c r="B291" s="2">
        <v>45978</v>
      </c>
      <c r="C291" s="4">
        <v>1627.3117448459657</v>
      </c>
      <c r="D291" s="4">
        <v>1157.8405857930406</v>
      </c>
      <c r="E291" s="25">
        <v>0.15</v>
      </c>
      <c r="F291" s="22">
        <v>0.75</v>
      </c>
    </row>
    <row r="292" spans="1:6" x14ac:dyDescent="0.3">
      <c r="A292" s="1" t="s">
        <v>5</v>
      </c>
      <c r="B292" s="2">
        <v>45979</v>
      </c>
      <c r="C292" s="4">
        <v>1636.1046213998675</v>
      </c>
      <c r="D292" s="4">
        <v>1157.6458769226008</v>
      </c>
      <c r="E292" s="25">
        <v>0.15</v>
      </c>
      <c r="F292" s="22">
        <v>0.75</v>
      </c>
    </row>
    <row r="293" spans="1:6" x14ac:dyDescent="0.3">
      <c r="A293" s="1" t="s">
        <v>6</v>
      </c>
      <c r="B293" s="2">
        <v>45980</v>
      </c>
      <c r="C293" s="4">
        <v>1585.0680134221886</v>
      </c>
      <c r="D293" s="4">
        <v>1157.978644701162</v>
      </c>
      <c r="E293" s="25">
        <v>0.15</v>
      </c>
      <c r="F293" s="22">
        <v>0.75</v>
      </c>
    </row>
    <row r="294" spans="1:6" x14ac:dyDescent="0.3">
      <c r="A294" s="1" t="s">
        <v>7</v>
      </c>
      <c r="B294" s="2">
        <v>45981</v>
      </c>
      <c r="C294" s="4">
        <v>1465.4316839024557</v>
      </c>
      <c r="D294" s="4">
        <v>1157.8814413700627</v>
      </c>
      <c r="E294" s="25">
        <v>0.15</v>
      </c>
      <c r="F294" s="22">
        <v>0.75</v>
      </c>
    </row>
    <row r="295" spans="1:6" x14ac:dyDescent="0.3">
      <c r="A295" s="1" t="s">
        <v>8</v>
      </c>
      <c r="B295" s="2">
        <v>45982</v>
      </c>
      <c r="C295" s="4">
        <v>1465.6175566559464</v>
      </c>
      <c r="D295" s="4">
        <v>1157.4792311611027</v>
      </c>
      <c r="E295" s="25">
        <v>0.15</v>
      </c>
      <c r="F295" s="22">
        <v>0.75</v>
      </c>
    </row>
    <row r="296" spans="1:6" x14ac:dyDescent="0.3">
      <c r="A296" s="1" t="s">
        <v>2</v>
      </c>
      <c r="B296" s="2">
        <v>45983</v>
      </c>
      <c r="C296" s="4">
        <v>1138.9306681009798</v>
      </c>
      <c r="D296" s="4">
        <v>1158.0893894337985</v>
      </c>
      <c r="E296" s="25">
        <v>0.15</v>
      </c>
      <c r="F296" s="22">
        <v>0.75</v>
      </c>
    </row>
    <row r="297" spans="1:6" x14ac:dyDescent="0.3">
      <c r="A297" s="1" t="s">
        <v>3</v>
      </c>
      <c r="B297" s="2">
        <v>45984</v>
      </c>
      <c r="C297" s="4">
        <v>720.24659644401413</v>
      </c>
      <c r="D297" s="4">
        <v>1158.6168433313433</v>
      </c>
      <c r="E297" s="25">
        <v>0.15</v>
      </c>
      <c r="F297" s="22">
        <v>0.75</v>
      </c>
    </row>
    <row r="298" spans="1:6" x14ac:dyDescent="0.3">
      <c r="A298" s="1" t="s">
        <v>4</v>
      </c>
      <c r="B298" s="2">
        <v>45985</v>
      </c>
      <c r="C298" s="4">
        <v>1910.9480802092025</v>
      </c>
      <c r="D298" s="4">
        <v>1157.5455408877119</v>
      </c>
      <c r="E298" s="25">
        <v>0.15</v>
      </c>
      <c r="F298" s="22">
        <v>0.75</v>
      </c>
    </row>
    <row r="299" spans="1:6" x14ac:dyDescent="0.3">
      <c r="A299" s="1" t="s">
        <v>5</v>
      </c>
      <c r="B299" s="2">
        <v>45986</v>
      </c>
      <c r="C299" s="4">
        <v>1803.6792060962305</v>
      </c>
      <c r="D299" s="4">
        <v>1157.791432572639</v>
      </c>
      <c r="E299" s="25">
        <v>0.15</v>
      </c>
      <c r="F299" s="22">
        <v>0.75</v>
      </c>
    </row>
    <row r="300" spans="1:6" x14ac:dyDescent="0.3">
      <c r="A300" s="1" t="s">
        <v>6</v>
      </c>
      <c r="B300" s="2">
        <v>45987</v>
      </c>
      <c r="C300" s="4">
        <v>1747.6422349247478</v>
      </c>
      <c r="D300" s="4">
        <v>1157.4335272924332</v>
      </c>
      <c r="E300" s="25">
        <v>0.15</v>
      </c>
      <c r="F300" s="22">
        <v>0.75</v>
      </c>
    </row>
    <row r="301" spans="1:6" x14ac:dyDescent="0.3">
      <c r="A301" s="1" t="s">
        <v>7</v>
      </c>
      <c r="B301" s="2">
        <v>45988</v>
      </c>
      <c r="C301" s="4"/>
      <c r="D301" s="4"/>
      <c r="E301" s="25">
        <v>0.15</v>
      </c>
      <c r="F301" s="22">
        <v>0.75</v>
      </c>
    </row>
    <row r="302" spans="1:6" x14ac:dyDescent="0.3">
      <c r="A302" s="1" t="s">
        <v>8</v>
      </c>
      <c r="B302" s="2">
        <v>45989</v>
      </c>
      <c r="C302" s="4">
        <v>1767.533805337303</v>
      </c>
      <c r="D302" s="4">
        <v>1157.1780542200056</v>
      </c>
      <c r="E302" s="25">
        <v>0.15</v>
      </c>
      <c r="F302" s="22">
        <v>0.75</v>
      </c>
    </row>
    <row r="303" spans="1:6" x14ac:dyDescent="0.3">
      <c r="A303" s="1" t="s">
        <v>2</v>
      </c>
      <c r="B303" s="2">
        <v>45990</v>
      </c>
      <c r="C303" s="4">
        <v>1284.7107861303953</v>
      </c>
      <c r="D303" s="4">
        <v>1157.0656441255105</v>
      </c>
      <c r="E303" s="25">
        <v>0.15</v>
      </c>
      <c r="F303" s="22">
        <v>0.75</v>
      </c>
    </row>
    <row r="304" spans="1:6" x14ac:dyDescent="0.3">
      <c r="A304" s="1" t="s">
        <v>3</v>
      </c>
      <c r="B304" s="2">
        <v>45991</v>
      </c>
      <c r="C304" s="4">
        <v>899.31486829048265</v>
      </c>
      <c r="D304" s="4">
        <v>1158.4067015611934</v>
      </c>
      <c r="E304" s="25">
        <v>0.15</v>
      </c>
      <c r="F304" s="22">
        <v>0.75</v>
      </c>
    </row>
    <row r="305" spans="1:6" x14ac:dyDescent="0.3">
      <c r="A305" s="1" t="s">
        <v>4</v>
      </c>
      <c r="B305" s="2">
        <v>45992</v>
      </c>
      <c r="C305" s="4">
        <v>1885</v>
      </c>
      <c r="D305" s="4">
        <v>1214.9336870026525</v>
      </c>
      <c r="E305" s="25">
        <v>0.15</v>
      </c>
      <c r="F305" s="22">
        <v>0.75</v>
      </c>
    </row>
    <row r="306" spans="1:6" x14ac:dyDescent="0.3">
      <c r="A306" s="1" t="s">
        <v>5</v>
      </c>
      <c r="B306" s="2">
        <v>45993</v>
      </c>
      <c r="C306" s="4">
        <v>1799</v>
      </c>
      <c r="D306" s="4">
        <v>1214.9249583101723</v>
      </c>
      <c r="E306" s="25">
        <v>0.15</v>
      </c>
      <c r="F306" s="22">
        <v>0.75</v>
      </c>
    </row>
    <row r="307" spans="1:6" x14ac:dyDescent="0.3">
      <c r="A307" s="1" t="s">
        <v>6</v>
      </c>
      <c r="B307" s="2">
        <v>45994</v>
      </c>
      <c r="C307" s="4">
        <v>1756</v>
      </c>
      <c r="D307" s="4">
        <v>1214.9202733485195</v>
      </c>
      <c r="E307" s="25">
        <v>0.15</v>
      </c>
      <c r="F307" s="22">
        <v>0.75</v>
      </c>
    </row>
    <row r="308" spans="1:6" x14ac:dyDescent="0.3">
      <c r="A308" s="1" t="s">
        <v>7</v>
      </c>
      <c r="B308" s="2">
        <v>45995</v>
      </c>
      <c r="C308" s="4">
        <v>1670</v>
      </c>
      <c r="D308" s="4">
        <v>1214.9101796407185</v>
      </c>
      <c r="E308" s="25">
        <v>0.15</v>
      </c>
      <c r="F308" s="22">
        <v>0.75</v>
      </c>
    </row>
    <row r="309" spans="1:6" x14ac:dyDescent="0.3">
      <c r="A309" s="1" t="s">
        <v>8</v>
      </c>
      <c r="B309" s="2">
        <v>45996</v>
      </c>
      <c r="C309" s="4">
        <v>1542</v>
      </c>
      <c r="D309" s="4">
        <v>1214.9805447470817</v>
      </c>
      <c r="E309" s="25">
        <v>0.15</v>
      </c>
      <c r="F309" s="22">
        <v>0.75</v>
      </c>
    </row>
    <row r="310" spans="1:6" x14ac:dyDescent="0.3">
      <c r="A310" s="1" t="s">
        <v>2</v>
      </c>
      <c r="B310" s="2">
        <v>45997</v>
      </c>
      <c r="C310" s="4">
        <v>1371</v>
      </c>
      <c r="D310" s="4">
        <v>1214.9161196207149</v>
      </c>
      <c r="E310" s="25">
        <v>0.15</v>
      </c>
      <c r="F310" s="22">
        <v>0.75</v>
      </c>
    </row>
    <row r="311" spans="1:6" x14ac:dyDescent="0.3">
      <c r="A311" s="1" t="s">
        <v>3</v>
      </c>
      <c r="B311" s="2">
        <v>45998</v>
      </c>
      <c r="C311" s="4">
        <v>878</v>
      </c>
      <c r="D311" s="4">
        <v>1214.9202733485195</v>
      </c>
      <c r="E311" s="25">
        <v>0.15</v>
      </c>
      <c r="F311" s="22">
        <v>0.75</v>
      </c>
    </row>
    <row r="312" spans="1:6" x14ac:dyDescent="0.3">
      <c r="A312" s="1" t="s">
        <v>4</v>
      </c>
      <c r="B312" s="2">
        <v>45999</v>
      </c>
      <c r="C312" s="4">
        <v>1699</v>
      </c>
      <c r="D312" s="4">
        <v>1213.8022366097705</v>
      </c>
      <c r="E312" s="25">
        <v>0.15</v>
      </c>
      <c r="F312" s="22">
        <v>0.75</v>
      </c>
    </row>
    <row r="313" spans="1:6" x14ac:dyDescent="0.3">
      <c r="A313" s="1" t="s">
        <v>5</v>
      </c>
      <c r="B313" s="2">
        <v>46000</v>
      </c>
      <c r="C313" s="4">
        <v>1628</v>
      </c>
      <c r="D313" s="4">
        <v>1214.987714987715</v>
      </c>
      <c r="E313" s="25">
        <v>0.15</v>
      </c>
      <c r="F313" s="22">
        <v>0.75</v>
      </c>
    </row>
    <row r="314" spans="1:6" x14ac:dyDescent="0.3">
      <c r="A314" s="1" t="s">
        <v>6</v>
      </c>
      <c r="B314" s="2">
        <v>46001</v>
      </c>
      <c r="C314" s="4">
        <v>1582</v>
      </c>
      <c r="D314" s="4">
        <v>1214.7281921618205</v>
      </c>
      <c r="E314" s="25">
        <v>0.15</v>
      </c>
      <c r="F314" s="22">
        <v>0.75</v>
      </c>
    </row>
    <row r="315" spans="1:6" x14ac:dyDescent="0.3">
      <c r="A315" s="1" t="s">
        <v>7</v>
      </c>
      <c r="B315" s="2">
        <v>46002</v>
      </c>
      <c r="C315" s="4">
        <v>1542</v>
      </c>
      <c r="D315" s="4">
        <v>1214.9805447470817</v>
      </c>
      <c r="E315" s="25">
        <v>0.15</v>
      </c>
      <c r="F315" s="22">
        <v>0.75</v>
      </c>
    </row>
    <row r="316" spans="1:6" x14ac:dyDescent="0.3">
      <c r="A316" s="1" t="s">
        <v>8</v>
      </c>
      <c r="B316" s="2">
        <v>46003</v>
      </c>
      <c r="C316" s="4">
        <v>1535</v>
      </c>
      <c r="D316" s="4">
        <v>1216.1889250814331</v>
      </c>
      <c r="E316" s="25">
        <v>0.15</v>
      </c>
      <c r="F316" s="22">
        <v>0.75</v>
      </c>
    </row>
    <row r="317" spans="1:6" x14ac:dyDescent="0.3">
      <c r="A317" s="1" t="s">
        <v>2</v>
      </c>
      <c r="B317" s="2">
        <v>46004</v>
      </c>
      <c r="C317" s="4">
        <v>1457</v>
      </c>
      <c r="D317" s="4">
        <v>1214.9279341111874</v>
      </c>
      <c r="E317" s="25">
        <v>0.15</v>
      </c>
      <c r="F317" s="22">
        <v>0.75</v>
      </c>
    </row>
    <row r="318" spans="1:6" x14ac:dyDescent="0.3">
      <c r="A318" s="1" t="s">
        <v>3</v>
      </c>
      <c r="B318" s="2">
        <v>46005</v>
      </c>
      <c r="C318" s="4">
        <v>933</v>
      </c>
      <c r="D318" s="4">
        <v>1214.951768488746</v>
      </c>
      <c r="E318" s="25">
        <v>0.15</v>
      </c>
      <c r="F318" s="22">
        <v>0.75</v>
      </c>
    </row>
    <row r="319" spans="1:6" x14ac:dyDescent="0.3">
      <c r="A319" s="1" t="s">
        <v>4</v>
      </c>
      <c r="B319" s="2">
        <v>46006</v>
      </c>
      <c r="C319" s="4">
        <v>1799</v>
      </c>
      <c r="D319" s="4">
        <v>1214.9249583101723</v>
      </c>
      <c r="E319" s="25">
        <v>0.15</v>
      </c>
      <c r="F319" s="22">
        <v>0.75</v>
      </c>
    </row>
    <row r="320" spans="1:6" x14ac:dyDescent="0.3">
      <c r="A320" s="1" t="s">
        <v>5</v>
      </c>
      <c r="B320" s="2">
        <v>46007</v>
      </c>
      <c r="C320" s="4">
        <v>1721</v>
      </c>
      <c r="D320" s="4">
        <v>1216.2405578152236</v>
      </c>
      <c r="E320" s="25">
        <v>0.15</v>
      </c>
      <c r="F320" s="22">
        <v>0.75</v>
      </c>
    </row>
    <row r="321" spans="1:6" x14ac:dyDescent="0.3">
      <c r="A321" s="1" t="s">
        <v>6</v>
      </c>
      <c r="B321" s="2">
        <v>46008</v>
      </c>
      <c r="C321" s="4">
        <v>1709</v>
      </c>
      <c r="D321" s="4">
        <v>1214.9502633118782</v>
      </c>
      <c r="E321" s="25">
        <v>0.15</v>
      </c>
      <c r="F321" s="22">
        <v>0.75</v>
      </c>
    </row>
    <row r="322" spans="1:6" x14ac:dyDescent="0.3">
      <c r="A322" s="1" t="s">
        <v>7</v>
      </c>
      <c r="B322" s="2">
        <v>46009</v>
      </c>
      <c r="C322" s="4">
        <v>1692</v>
      </c>
      <c r="D322" s="4">
        <v>1214.8936170212767</v>
      </c>
      <c r="E322" s="25">
        <v>0.15</v>
      </c>
      <c r="F322" s="22">
        <v>0.75</v>
      </c>
    </row>
    <row r="323" spans="1:6" x14ac:dyDescent="0.3">
      <c r="A323" s="1" t="s">
        <v>8</v>
      </c>
      <c r="B323" s="2">
        <v>46010</v>
      </c>
      <c r="C323" s="4">
        <v>1585</v>
      </c>
      <c r="D323" s="4">
        <v>1214.9842271293376</v>
      </c>
      <c r="E323" s="25">
        <v>0.15</v>
      </c>
      <c r="F323" s="22">
        <v>0.75</v>
      </c>
    </row>
    <row r="324" spans="1:6" x14ac:dyDescent="0.3">
      <c r="A324" s="1" t="s">
        <v>2</v>
      </c>
      <c r="B324" s="2">
        <v>46011</v>
      </c>
      <c r="C324" s="4">
        <v>1071</v>
      </c>
      <c r="D324" s="4">
        <v>1214.9859943977592</v>
      </c>
      <c r="E324" s="25">
        <v>0.15</v>
      </c>
      <c r="F324" s="22">
        <v>0.75</v>
      </c>
    </row>
    <row r="325" spans="1:6" x14ac:dyDescent="0.3">
      <c r="A325" s="1" t="s">
        <v>3</v>
      </c>
      <c r="B325" s="2">
        <v>46012</v>
      </c>
      <c r="C325" s="4">
        <v>728</v>
      </c>
      <c r="D325" s="4">
        <v>1214.8351648351647</v>
      </c>
      <c r="E325" s="25">
        <v>0.15</v>
      </c>
      <c r="F325" s="22">
        <v>0.75</v>
      </c>
    </row>
    <row r="326" spans="1:6" x14ac:dyDescent="0.3">
      <c r="A326" s="1" t="s">
        <v>4</v>
      </c>
      <c r="B326" s="2">
        <v>46013</v>
      </c>
      <c r="C326" s="4">
        <v>1242</v>
      </c>
      <c r="D326" s="4">
        <v>1214.8953301127215</v>
      </c>
      <c r="E326" s="25">
        <v>0.15</v>
      </c>
      <c r="F326" s="22">
        <v>0.75</v>
      </c>
    </row>
    <row r="327" spans="1:6" x14ac:dyDescent="0.3">
      <c r="A327" s="1" t="s">
        <v>5</v>
      </c>
      <c r="B327" s="2">
        <v>46014</v>
      </c>
      <c r="C327" s="4">
        <v>1199</v>
      </c>
      <c r="D327" s="4">
        <v>1214.8874061718097</v>
      </c>
      <c r="E327" s="25">
        <v>0.15</v>
      </c>
      <c r="F327" s="22">
        <v>0.75</v>
      </c>
    </row>
    <row r="328" spans="1:6" x14ac:dyDescent="0.3">
      <c r="A328" s="1" t="s">
        <v>6</v>
      </c>
      <c r="B328" s="2">
        <v>46015</v>
      </c>
      <c r="C328" s="4">
        <v>643</v>
      </c>
      <c r="D328" s="4">
        <v>1215.0077760497668</v>
      </c>
      <c r="E328" s="25">
        <v>0.15</v>
      </c>
      <c r="F328" s="22">
        <v>0.75</v>
      </c>
    </row>
    <row r="329" spans="1:6" x14ac:dyDescent="0.3">
      <c r="A329" s="1" t="s">
        <v>7</v>
      </c>
      <c r="B329" s="2">
        <v>46016</v>
      </c>
      <c r="C329" s="4"/>
      <c r="D329" s="4" t="s">
        <v>24</v>
      </c>
      <c r="E329" s="25">
        <v>0.15</v>
      </c>
      <c r="F329" s="22">
        <v>0.75</v>
      </c>
    </row>
    <row r="330" spans="1:6" x14ac:dyDescent="0.3">
      <c r="A330" s="1" t="s">
        <v>8</v>
      </c>
      <c r="B330" s="2">
        <v>46017</v>
      </c>
      <c r="C330" s="4">
        <v>1799</v>
      </c>
      <c r="D330" s="4">
        <v>1214.9249583101723</v>
      </c>
      <c r="E330" s="25">
        <v>0.15</v>
      </c>
      <c r="F330" s="22">
        <v>0.75</v>
      </c>
    </row>
    <row r="331" spans="1:6" x14ac:dyDescent="0.3">
      <c r="A331" s="1" t="s">
        <v>2</v>
      </c>
      <c r="B331" s="2">
        <v>46018</v>
      </c>
      <c r="C331" s="4">
        <v>1614</v>
      </c>
      <c r="D331" s="4">
        <v>1213.816604708798</v>
      </c>
      <c r="E331" s="25">
        <v>0.15</v>
      </c>
      <c r="F331" s="22">
        <v>0.75</v>
      </c>
    </row>
    <row r="332" spans="1:6" x14ac:dyDescent="0.3">
      <c r="A332" s="1" t="s">
        <v>3</v>
      </c>
      <c r="B332" s="2">
        <v>46019</v>
      </c>
      <c r="C332" s="4">
        <v>1457</v>
      </c>
      <c r="D332" s="4">
        <v>1214.9279341111874</v>
      </c>
      <c r="E332" s="25">
        <v>0.15</v>
      </c>
      <c r="F332" s="22">
        <v>0.75</v>
      </c>
    </row>
    <row r="333" spans="1:6" x14ac:dyDescent="0.3">
      <c r="A333" s="1" t="s">
        <v>4</v>
      </c>
      <c r="B333" s="2">
        <v>46020</v>
      </c>
      <c r="C333" s="4">
        <v>1414</v>
      </c>
      <c r="D333" s="4">
        <v>1214.922206506365</v>
      </c>
      <c r="E333" s="25">
        <v>0.15</v>
      </c>
      <c r="F333" s="22">
        <v>0.75</v>
      </c>
    </row>
    <row r="334" spans="1:6" x14ac:dyDescent="0.3">
      <c r="A334" s="1" t="s">
        <v>5</v>
      </c>
      <c r="B334" s="2">
        <v>46021</v>
      </c>
      <c r="C334" s="4">
        <v>1242</v>
      </c>
      <c r="D334" s="4">
        <v>1214.8953301127215</v>
      </c>
      <c r="E334" s="25">
        <v>0.15</v>
      </c>
      <c r="F334" s="22">
        <v>0.75</v>
      </c>
    </row>
    <row r="335" spans="1:6" x14ac:dyDescent="0.3">
      <c r="A335" s="1" t="s">
        <v>6</v>
      </c>
      <c r="B335" s="2">
        <v>46022</v>
      </c>
      <c r="C335" s="4">
        <v>643</v>
      </c>
      <c r="D335" s="4">
        <v>1215.0077760497668</v>
      </c>
      <c r="E335" s="25">
        <v>0.15</v>
      </c>
      <c r="F335" s="22">
        <v>0.75</v>
      </c>
    </row>
    <row r="336" spans="1:6" x14ac:dyDescent="0.3">
      <c r="A336" s="1" t="s">
        <v>7</v>
      </c>
      <c r="B336" s="2">
        <v>46023</v>
      </c>
      <c r="C336" s="4">
        <v>588</v>
      </c>
      <c r="D336" s="4">
        <v>1207.4829931972788</v>
      </c>
      <c r="E336" s="25">
        <v>0.15</v>
      </c>
      <c r="F336" s="22">
        <v>0.75</v>
      </c>
    </row>
    <row r="337" spans="1:6" x14ac:dyDescent="0.3">
      <c r="A337" s="1" t="s">
        <v>8</v>
      </c>
      <c r="B337" s="2">
        <v>46024</v>
      </c>
      <c r="C337" s="4">
        <v>1894</v>
      </c>
      <c r="D337" s="4">
        <v>1207.6557550158395</v>
      </c>
      <c r="E337" s="25">
        <v>0.15</v>
      </c>
      <c r="F337" s="22">
        <v>0.75</v>
      </c>
    </row>
    <row r="338" spans="1:6" x14ac:dyDescent="0.3">
      <c r="A338" s="1" t="s">
        <v>2</v>
      </c>
      <c r="B338" s="2">
        <v>46025</v>
      </c>
      <c r="C338" s="4">
        <v>1494</v>
      </c>
      <c r="D338" s="4">
        <v>1207.6974564926372</v>
      </c>
      <c r="E338" s="25">
        <v>0.15</v>
      </c>
      <c r="F338" s="22">
        <v>0.75</v>
      </c>
    </row>
    <row r="339" spans="1:6" x14ac:dyDescent="0.3">
      <c r="A339" s="1" t="s">
        <v>3</v>
      </c>
      <c r="B339" s="2">
        <v>46026</v>
      </c>
      <c r="C339" s="4">
        <v>838</v>
      </c>
      <c r="D339" s="4">
        <v>1207.7565632458234</v>
      </c>
      <c r="E339" s="25">
        <v>0.15</v>
      </c>
      <c r="F339" s="22">
        <v>0.75</v>
      </c>
    </row>
    <row r="340" spans="1:6" x14ac:dyDescent="0.3">
      <c r="A340" s="1" t="s">
        <v>4</v>
      </c>
      <c r="B340" s="2">
        <v>46027</v>
      </c>
      <c r="C340" s="4">
        <v>1858</v>
      </c>
      <c r="D340" s="4">
        <v>1207.6964477933261</v>
      </c>
      <c r="E340" s="25">
        <v>0.15</v>
      </c>
      <c r="F340" s="22">
        <v>0.75</v>
      </c>
    </row>
    <row r="341" spans="1:6" x14ac:dyDescent="0.3">
      <c r="A341" s="1" t="s">
        <v>5</v>
      </c>
      <c r="B341" s="2">
        <v>46028</v>
      </c>
      <c r="C341" s="4">
        <v>1256</v>
      </c>
      <c r="D341" s="4">
        <v>1207.6433121019109</v>
      </c>
      <c r="E341" s="25">
        <v>0.15</v>
      </c>
      <c r="F341" s="22">
        <v>0.75</v>
      </c>
    </row>
    <row r="342" spans="1:6" x14ac:dyDescent="0.3">
      <c r="A342" s="1" t="s">
        <v>6</v>
      </c>
      <c r="B342" s="2">
        <v>46029</v>
      </c>
      <c r="C342" s="4">
        <v>1202</v>
      </c>
      <c r="D342" s="4">
        <v>1207.7371048252912</v>
      </c>
      <c r="E342" s="25">
        <v>0.15</v>
      </c>
      <c r="F342" s="22">
        <v>0.75</v>
      </c>
    </row>
    <row r="343" spans="1:6" x14ac:dyDescent="0.3">
      <c r="A343" s="1" t="s">
        <v>7</v>
      </c>
      <c r="B343" s="2">
        <v>46030</v>
      </c>
      <c r="C343" s="4">
        <v>1238</v>
      </c>
      <c r="D343" s="4">
        <v>1207.6736672051695</v>
      </c>
      <c r="E343" s="25">
        <v>0.15</v>
      </c>
      <c r="F343" s="22">
        <v>0.75</v>
      </c>
    </row>
    <row r="344" spans="1:6" x14ac:dyDescent="0.3">
      <c r="A344" s="1" t="s">
        <v>8</v>
      </c>
      <c r="B344" s="2">
        <v>46031</v>
      </c>
      <c r="C344" s="4">
        <v>1202</v>
      </c>
      <c r="D344" s="4">
        <v>1207.7371048252912</v>
      </c>
      <c r="E344" s="25">
        <v>0.15</v>
      </c>
      <c r="F344" s="22">
        <v>0.75</v>
      </c>
    </row>
    <row r="345" spans="1:6" x14ac:dyDescent="0.3">
      <c r="A345" s="1" t="s">
        <v>2</v>
      </c>
      <c r="B345" s="2">
        <v>46032</v>
      </c>
      <c r="C345" s="4">
        <v>1057</v>
      </c>
      <c r="D345" s="4">
        <v>1207.7105014191106</v>
      </c>
      <c r="E345" s="25">
        <v>0.15</v>
      </c>
      <c r="F345" s="22">
        <v>0.75</v>
      </c>
    </row>
    <row r="346" spans="1:6" x14ac:dyDescent="0.3">
      <c r="A346" s="1" t="s">
        <v>3</v>
      </c>
      <c r="B346" s="2">
        <v>46033</v>
      </c>
      <c r="C346" s="4">
        <v>655</v>
      </c>
      <c r="D346" s="4">
        <v>1207.7099236641222</v>
      </c>
      <c r="E346" s="25">
        <v>0.15</v>
      </c>
      <c r="F346" s="22">
        <v>0.75</v>
      </c>
    </row>
    <row r="347" spans="1:6" x14ac:dyDescent="0.3">
      <c r="A347" s="1" t="s">
        <v>4</v>
      </c>
      <c r="B347" s="2">
        <v>46034</v>
      </c>
      <c r="C347" s="4">
        <v>1421</v>
      </c>
      <c r="D347" s="4">
        <v>1207.7058409570725</v>
      </c>
      <c r="E347" s="25">
        <v>0.15</v>
      </c>
      <c r="F347" s="22">
        <v>0.75</v>
      </c>
    </row>
    <row r="348" spans="1:6" x14ac:dyDescent="0.3">
      <c r="A348" s="1" t="s">
        <v>5</v>
      </c>
      <c r="B348" s="2">
        <v>46035</v>
      </c>
      <c r="C348" s="4">
        <v>1311</v>
      </c>
      <c r="D348" s="4">
        <v>1207.6659038901603</v>
      </c>
      <c r="E348" s="25">
        <v>0.15</v>
      </c>
      <c r="F348" s="22">
        <v>0.75</v>
      </c>
    </row>
    <row r="349" spans="1:6" x14ac:dyDescent="0.3">
      <c r="A349" s="1" t="s">
        <v>6</v>
      </c>
      <c r="B349" s="2">
        <v>46036</v>
      </c>
      <c r="C349" s="4">
        <v>1275</v>
      </c>
      <c r="D349" s="4">
        <v>1207.7254901960785</v>
      </c>
      <c r="E349" s="25">
        <v>0.15</v>
      </c>
      <c r="F349" s="22">
        <v>0.75</v>
      </c>
    </row>
    <row r="350" spans="1:6" x14ac:dyDescent="0.3">
      <c r="A350" s="1" t="s">
        <v>7</v>
      </c>
      <c r="B350" s="2">
        <v>46037</v>
      </c>
      <c r="C350" s="4">
        <v>1256</v>
      </c>
      <c r="D350" s="4">
        <v>1207.6433121019109</v>
      </c>
      <c r="E350" s="25">
        <v>0.15</v>
      </c>
      <c r="F350" s="22">
        <v>0.75</v>
      </c>
    </row>
    <row r="351" spans="1:6" x14ac:dyDescent="0.3">
      <c r="A351" s="1" t="s">
        <v>8</v>
      </c>
      <c r="B351" s="2">
        <v>46038</v>
      </c>
      <c r="C351" s="4">
        <v>1238</v>
      </c>
      <c r="D351" s="4">
        <v>1207.6736672051695</v>
      </c>
      <c r="E351" s="25">
        <v>0.15</v>
      </c>
      <c r="F351" s="22">
        <v>0.75</v>
      </c>
    </row>
    <row r="352" spans="1:6" x14ac:dyDescent="0.3">
      <c r="A352" s="1" t="s">
        <v>2</v>
      </c>
      <c r="B352" s="2">
        <v>46039</v>
      </c>
      <c r="C352" s="4">
        <v>1057</v>
      </c>
      <c r="D352" s="4">
        <v>1207.7105014191106</v>
      </c>
      <c r="E352" s="25">
        <v>0.15</v>
      </c>
      <c r="F352" s="22">
        <v>0.75</v>
      </c>
    </row>
    <row r="353" spans="1:6" x14ac:dyDescent="0.3">
      <c r="A353" s="1" t="s">
        <v>3</v>
      </c>
      <c r="B353" s="2">
        <v>46040</v>
      </c>
      <c r="C353" s="4">
        <v>583</v>
      </c>
      <c r="D353" s="4">
        <v>1207.6329331046313</v>
      </c>
      <c r="E353" s="25">
        <v>0.15</v>
      </c>
      <c r="F353" s="22">
        <v>0.75</v>
      </c>
    </row>
    <row r="354" spans="1:6" x14ac:dyDescent="0.3">
      <c r="A354" s="1" t="s">
        <v>4</v>
      </c>
      <c r="B354" s="2">
        <v>46041</v>
      </c>
      <c r="C354" s="4">
        <v>1092</v>
      </c>
      <c r="D354" s="4">
        <v>1207.6923076923076</v>
      </c>
      <c r="E354" s="25">
        <v>0.15</v>
      </c>
      <c r="F354" s="22">
        <v>0.75</v>
      </c>
    </row>
    <row r="355" spans="1:6" x14ac:dyDescent="0.3">
      <c r="A355" s="1" t="s">
        <v>5</v>
      </c>
      <c r="B355" s="2">
        <v>46042</v>
      </c>
      <c r="C355" s="4">
        <v>1348</v>
      </c>
      <c r="D355" s="4">
        <v>1207.7151335311573</v>
      </c>
      <c r="E355" s="25">
        <v>0.15</v>
      </c>
      <c r="F355" s="22">
        <v>0.75</v>
      </c>
    </row>
    <row r="356" spans="1:6" x14ac:dyDescent="0.3">
      <c r="A356" s="1" t="s">
        <v>6</v>
      </c>
      <c r="B356" s="2">
        <v>46043</v>
      </c>
      <c r="C356" s="4">
        <v>1275</v>
      </c>
      <c r="D356" s="4">
        <v>1207.7254901960785</v>
      </c>
      <c r="E356" s="25">
        <v>0.15</v>
      </c>
      <c r="F356" s="22">
        <v>0.75</v>
      </c>
    </row>
    <row r="357" spans="1:6" x14ac:dyDescent="0.3">
      <c r="A357" s="1" t="s">
        <v>7</v>
      </c>
      <c r="B357" s="2">
        <v>46044</v>
      </c>
      <c r="C357" s="4">
        <v>1275</v>
      </c>
      <c r="D357" s="4">
        <v>1207.7254901960785</v>
      </c>
      <c r="E357" s="25">
        <v>0.15</v>
      </c>
      <c r="F357" s="22">
        <v>0.75</v>
      </c>
    </row>
    <row r="358" spans="1:6" x14ac:dyDescent="0.3">
      <c r="A358" s="1" t="s">
        <v>8</v>
      </c>
      <c r="B358" s="2">
        <v>46045</v>
      </c>
      <c r="C358" s="4">
        <v>1283</v>
      </c>
      <c r="D358" s="4">
        <v>1207.6773187840997</v>
      </c>
      <c r="E358" s="25">
        <v>0.15</v>
      </c>
      <c r="F358" s="22">
        <v>0.75</v>
      </c>
    </row>
    <row r="359" spans="1:6" x14ac:dyDescent="0.3">
      <c r="A359" s="1" t="s">
        <v>2</v>
      </c>
      <c r="B359" s="2">
        <v>46046</v>
      </c>
      <c r="C359" s="4">
        <v>1165</v>
      </c>
      <c r="D359" s="4">
        <v>1207.6824034334763</v>
      </c>
      <c r="E359" s="25">
        <v>0.15</v>
      </c>
      <c r="F359" s="22">
        <v>0.75</v>
      </c>
    </row>
    <row r="360" spans="1:6" x14ac:dyDescent="0.3">
      <c r="A360" s="1" t="s">
        <v>3</v>
      </c>
      <c r="B360" s="2">
        <v>46047</v>
      </c>
      <c r="C360" s="4">
        <v>547</v>
      </c>
      <c r="D360" s="4">
        <v>1207.7696526508228</v>
      </c>
      <c r="E360" s="25">
        <v>0.15</v>
      </c>
      <c r="F360" s="22">
        <v>0.75</v>
      </c>
    </row>
    <row r="361" spans="1:6" x14ac:dyDescent="0.3">
      <c r="A361" s="1" t="s">
        <v>4</v>
      </c>
      <c r="B361" s="2">
        <v>46048</v>
      </c>
      <c r="C361" s="4">
        <v>1275</v>
      </c>
      <c r="D361" s="4">
        <v>1207.7254901960785</v>
      </c>
      <c r="E361" s="25">
        <v>0.15</v>
      </c>
      <c r="F361" s="22">
        <v>0.75</v>
      </c>
    </row>
    <row r="362" spans="1:6" x14ac:dyDescent="0.3">
      <c r="A362" s="1" t="s">
        <v>5</v>
      </c>
      <c r="B362" s="2">
        <v>46049</v>
      </c>
      <c r="C362" s="4">
        <v>1165</v>
      </c>
      <c r="D362" s="4">
        <v>1207.6824034334763</v>
      </c>
      <c r="E362" s="25">
        <v>0.15</v>
      </c>
      <c r="F362" s="22">
        <v>0.75</v>
      </c>
    </row>
    <row r="363" spans="1:6" x14ac:dyDescent="0.3">
      <c r="A363" s="1" t="s">
        <v>6</v>
      </c>
      <c r="B363" s="2">
        <v>46050</v>
      </c>
      <c r="C363" s="4">
        <v>1169</v>
      </c>
      <c r="D363" s="4">
        <v>1207.656116338751</v>
      </c>
      <c r="E363" s="25">
        <v>0.15</v>
      </c>
      <c r="F363" s="22">
        <v>0.75</v>
      </c>
    </row>
    <row r="364" spans="1:6" x14ac:dyDescent="0.3">
      <c r="A364" s="1" t="s">
        <v>7</v>
      </c>
      <c r="B364" s="2">
        <v>46051</v>
      </c>
      <c r="C364" s="4">
        <v>1183</v>
      </c>
      <c r="D364" s="4">
        <v>1207.6500422654269</v>
      </c>
      <c r="E364" s="25">
        <v>0.15</v>
      </c>
      <c r="F364" s="22">
        <v>0.75</v>
      </c>
    </row>
    <row r="365" spans="1:6" x14ac:dyDescent="0.3">
      <c r="A365" s="1" t="s">
        <v>8</v>
      </c>
      <c r="B365" s="2">
        <v>46052</v>
      </c>
      <c r="C365" s="4">
        <v>1202</v>
      </c>
      <c r="D365" s="4">
        <v>1207.7371048252912</v>
      </c>
      <c r="E365" s="25">
        <v>0.15</v>
      </c>
      <c r="F365" s="22">
        <v>0.75</v>
      </c>
    </row>
    <row r="366" spans="1:6" x14ac:dyDescent="0.3">
      <c r="A366" s="1" t="s">
        <v>2</v>
      </c>
      <c r="B366" s="2">
        <v>46053</v>
      </c>
      <c r="C366" s="4">
        <v>1020</v>
      </c>
      <c r="D366" s="4">
        <v>1207.6470588235295</v>
      </c>
      <c r="E366" s="25">
        <v>0.15</v>
      </c>
      <c r="F366" s="22">
        <v>0.75</v>
      </c>
    </row>
    <row r="367" spans="1:6" x14ac:dyDescent="0.3">
      <c r="A367" s="1" t="s">
        <v>3</v>
      </c>
      <c r="B367" s="2">
        <v>46054</v>
      </c>
      <c r="C367" s="4">
        <v>717</v>
      </c>
      <c r="D367" s="4">
        <v>1211.6457461645746</v>
      </c>
      <c r="E367" s="25">
        <v>0.15</v>
      </c>
      <c r="F367" s="22">
        <v>0.75</v>
      </c>
    </row>
    <row r="368" spans="1:6" x14ac:dyDescent="0.3">
      <c r="A368" s="1" t="s">
        <v>4</v>
      </c>
      <c r="B368" s="2">
        <v>46055</v>
      </c>
      <c r="C368" s="4">
        <v>1548</v>
      </c>
      <c r="D368" s="4">
        <v>1211.7571059431525</v>
      </c>
      <c r="E368" s="25">
        <v>0.15</v>
      </c>
      <c r="F368" s="22">
        <v>0.75</v>
      </c>
    </row>
    <row r="369" spans="1:6" x14ac:dyDescent="0.3">
      <c r="A369" s="1" t="s">
        <v>5</v>
      </c>
      <c r="B369" s="2">
        <v>46056</v>
      </c>
      <c r="C369" s="4">
        <v>1529</v>
      </c>
      <c r="D369" s="4">
        <v>1211.739699149771</v>
      </c>
      <c r="E369" s="25">
        <v>0.15</v>
      </c>
      <c r="F369" s="22">
        <v>0.75</v>
      </c>
    </row>
    <row r="370" spans="1:6" x14ac:dyDescent="0.3">
      <c r="A370" s="1" t="s">
        <v>6</v>
      </c>
      <c r="B370" s="2">
        <v>46057</v>
      </c>
      <c r="C370" s="4">
        <v>1499</v>
      </c>
      <c r="D370" s="4">
        <v>1211.3742494996663</v>
      </c>
      <c r="E370" s="25">
        <v>0.15</v>
      </c>
      <c r="F370" s="22">
        <v>0.75</v>
      </c>
    </row>
    <row r="371" spans="1:6" x14ac:dyDescent="0.3">
      <c r="A371" s="1" t="s">
        <v>7</v>
      </c>
      <c r="B371" s="2">
        <v>46058</v>
      </c>
      <c r="C371" s="4">
        <v>1454</v>
      </c>
      <c r="D371" s="4">
        <v>1211.7606602475928</v>
      </c>
      <c r="E371" s="25">
        <v>0.15</v>
      </c>
      <c r="F371" s="22">
        <v>0.75</v>
      </c>
    </row>
    <row r="372" spans="1:6" x14ac:dyDescent="0.3">
      <c r="A372" s="1" t="s">
        <v>8</v>
      </c>
      <c r="B372" s="2">
        <v>46059</v>
      </c>
      <c r="C372" s="4">
        <v>1454</v>
      </c>
      <c r="D372" s="4">
        <v>1211.7606602475928</v>
      </c>
      <c r="E372" s="25">
        <v>0.15</v>
      </c>
      <c r="F372" s="22">
        <v>0.75</v>
      </c>
    </row>
    <row r="373" spans="1:6" x14ac:dyDescent="0.3">
      <c r="A373" s="1" t="s">
        <v>2</v>
      </c>
      <c r="B373" s="2">
        <v>46060</v>
      </c>
      <c r="C373" s="4">
        <v>1208</v>
      </c>
      <c r="D373" s="4">
        <v>1211.7549668874171</v>
      </c>
      <c r="E373" s="25">
        <v>0.15</v>
      </c>
      <c r="F373" s="22">
        <v>0.75</v>
      </c>
    </row>
    <row r="374" spans="1:6" x14ac:dyDescent="0.3">
      <c r="A374" s="1" t="s">
        <v>3</v>
      </c>
      <c r="B374" s="2">
        <v>46061</v>
      </c>
      <c r="C374" s="4">
        <v>755</v>
      </c>
      <c r="D374" s="4">
        <v>1211.7218543046358</v>
      </c>
      <c r="E374" s="25">
        <v>0.15</v>
      </c>
      <c r="F374" s="22">
        <v>0.75</v>
      </c>
    </row>
    <row r="375" spans="1:6" x14ac:dyDescent="0.3">
      <c r="A375" s="1" t="s">
        <v>4</v>
      </c>
      <c r="B375" s="2">
        <v>46062</v>
      </c>
      <c r="C375" s="4">
        <v>1548</v>
      </c>
      <c r="D375" s="4">
        <v>1211.7571059431525</v>
      </c>
      <c r="E375" s="25">
        <v>0.15</v>
      </c>
      <c r="F375" s="22">
        <v>0.75</v>
      </c>
    </row>
    <row r="376" spans="1:6" x14ac:dyDescent="0.3">
      <c r="A376" s="1" t="s">
        <v>5</v>
      </c>
      <c r="B376" s="2">
        <v>46063</v>
      </c>
      <c r="C376" s="4">
        <v>1495</v>
      </c>
      <c r="D376" s="4">
        <v>1212.0735785953177</v>
      </c>
      <c r="E376" s="25">
        <v>0.15</v>
      </c>
      <c r="F376" s="22">
        <v>0.75</v>
      </c>
    </row>
    <row r="377" spans="1:6" x14ac:dyDescent="0.3">
      <c r="A377" s="1" t="s">
        <v>6</v>
      </c>
      <c r="B377" s="2">
        <v>46064</v>
      </c>
      <c r="C377" s="4">
        <v>1454</v>
      </c>
      <c r="D377" s="4">
        <v>1211.7606602475928</v>
      </c>
      <c r="E377" s="25">
        <v>0.15</v>
      </c>
      <c r="F377" s="22">
        <v>0.75</v>
      </c>
    </row>
    <row r="378" spans="1:6" x14ac:dyDescent="0.3">
      <c r="A378" s="1" t="s">
        <v>7</v>
      </c>
      <c r="B378" s="2">
        <v>46065</v>
      </c>
      <c r="C378" s="4">
        <v>1457</v>
      </c>
      <c r="D378" s="4">
        <v>1211.7707618393961</v>
      </c>
      <c r="E378" s="25">
        <v>0.15</v>
      </c>
      <c r="F378" s="22">
        <v>0.75</v>
      </c>
    </row>
    <row r="379" spans="1:6" x14ac:dyDescent="0.3">
      <c r="A379" s="1" t="s">
        <v>8</v>
      </c>
      <c r="B379" s="2">
        <v>46066</v>
      </c>
      <c r="C379" s="4">
        <v>1438</v>
      </c>
      <c r="D379" s="4">
        <v>1211.7524339360223</v>
      </c>
      <c r="E379" s="25">
        <v>0.15</v>
      </c>
      <c r="F379" s="22">
        <v>0.75</v>
      </c>
    </row>
    <row r="380" spans="1:6" x14ac:dyDescent="0.3">
      <c r="A380" s="1" t="s">
        <v>2</v>
      </c>
      <c r="B380" s="2">
        <v>46067</v>
      </c>
      <c r="C380" s="4">
        <v>1208</v>
      </c>
      <c r="D380" s="4">
        <v>1211.7549668874171</v>
      </c>
      <c r="E380" s="25">
        <v>0.15</v>
      </c>
      <c r="F380" s="22">
        <v>0.75</v>
      </c>
    </row>
    <row r="381" spans="1:6" x14ac:dyDescent="0.3">
      <c r="A381" s="1" t="s">
        <v>3</v>
      </c>
      <c r="B381" s="2">
        <v>46068</v>
      </c>
      <c r="C381" s="4">
        <v>755</v>
      </c>
      <c r="D381" s="4">
        <v>1211.7218543046358</v>
      </c>
      <c r="E381" s="25">
        <v>0.15</v>
      </c>
      <c r="F381" s="22">
        <v>0.75</v>
      </c>
    </row>
    <row r="382" spans="1:6" x14ac:dyDescent="0.3">
      <c r="A382" s="1" t="s">
        <v>4</v>
      </c>
      <c r="B382" s="2">
        <v>46069</v>
      </c>
      <c r="C382" s="4">
        <v>1548</v>
      </c>
      <c r="D382" s="4">
        <v>1211.7571059431525</v>
      </c>
      <c r="E382" s="25">
        <v>0.15</v>
      </c>
      <c r="F382" s="22">
        <v>0.75</v>
      </c>
    </row>
    <row r="383" spans="1:6" x14ac:dyDescent="0.3">
      <c r="A383" s="1" t="s">
        <v>5</v>
      </c>
      <c r="B383" s="2">
        <v>46070</v>
      </c>
      <c r="C383" s="4">
        <v>1529</v>
      </c>
      <c r="D383" s="4">
        <v>1211.739699149771</v>
      </c>
      <c r="E383" s="25">
        <v>0.15</v>
      </c>
      <c r="F383" s="22">
        <v>0.75</v>
      </c>
    </row>
    <row r="384" spans="1:6" x14ac:dyDescent="0.3">
      <c r="A384" s="1" t="s">
        <v>6</v>
      </c>
      <c r="B384" s="2">
        <v>46071</v>
      </c>
      <c r="C384" s="4">
        <v>1480</v>
      </c>
      <c r="D384" s="4">
        <v>1211.7567567567567</v>
      </c>
      <c r="E384" s="25">
        <v>0.15</v>
      </c>
      <c r="F384" s="22">
        <v>0.75</v>
      </c>
    </row>
    <row r="385" spans="1:6" x14ac:dyDescent="0.3">
      <c r="A385" s="1" t="s">
        <v>7</v>
      </c>
      <c r="B385" s="2">
        <v>46072</v>
      </c>
      <c r="C385" s="4">
        <v>1480</v>
      </c>
      <c r="D385" s="4">
        <v>1211.7567567567567</v>
      </c>
      <c r="E385" s="25">
        <v>0.15</v>
      </c>
      <c r="F385" s="22">
        <v>0.75</v>
      </c>
    </row>
    <row r="386" spans="1:6" x14ac:dyDescent="0.3">
      <c r="A386" s="1" t="s">
        <v>8</v>
      </c>
      <c r="B386" s="2">
        <v>46073</v>
      </c>
      <c r="C386" s="4">
        <v>1510</v>
      </c>
      <c r="D386" s="4">
        <v>1211.7218543046358</v>
      </c>
      <c r="E386" s="25">
        <v>0.15</v>
      </c>
      <c r="F386" s="22">
        <v>0.75</v>
      </c>
    </row>
    <row r="387" spans="1:6" x14ac:dyDescent="0.3">
      <c r="A387" s="1" t="s">
        <v>2</v>
      </c>
      <c r="B387" s="2">
        <v>46074</v>
      </c>
      <c r="C387" s="4">
        <v>1133</v>
      </c>
      <c r="D387" s="4">
        <v>1211.7828773168578</v>
      </c>
      <c r="E387" s="25">
        <v>0.15</v>
      </c>
      <c r="F387" s="22">
        <v>0.75</v>
      </c>
    </row>
    <row r="388" spans="1:6" x14ac:dyDescent="0.3">
      <c r="A388" s="1" t="s">
        <v>3</v>
      </c>
      <c r="B388" s="2">
        <v>46075</v>
      </c>
      <c r="C388" s="4">
        <v>755</v>
      </c>
      <c r="D388" s="4">
        <v>1211.7218543046358</v>
      </c>
      <c r="E388" s="25">
        <v>0.15</v>
      </c>
      <c r="F388" s="22">
        <v>0.75</v>
      </c>
    </row>
    <row r="389" spans="1:6" x14ac:dyDescent="0.3">
      <c r="A389" s="1" t="s">
        <v>4</v>
      </c>
      <c r="B389" s="2">
        <v>46076</v>
      </c>
      <c r="C389" s="4">
        <v>1548</v>
      </c>
      <c r="D389" s="4">
        <v>1211.7571059431525</v>
      </c>
      <c r="E389" s="25">
        <v>0.15</v>
      </c>
      <c r="F389" s="22">
        <v>0.75</v>
      </c>
    </row>
    <row r="390" spans="1:6" x14ac:dyDescent="0.3">
      <c r="A390" s="1" t="s">
        <v>5</v>
      </c>
      <c r="B390" s="2">
        <v>46077</v>
      </c>
      <c r="C390" s="4">
        <v>1510</v>
      </c>
      <c r="D390" s="4">
        <v>1211.7218543046358</v>
      </c>
      <c r="E390" s="25">
        <v>0.15</v>
      </c>
      <c r="F390" s="22">
        <v>0.75</v>
      </c>
    </row>
    <row r="391" spans="1:6" x14ac:dyDescent="0.3">
      <c r="A391" s="1" t="s">
        <v>6</v>
      </c>
      <c r="B391" s="2">
        <v>46078</v>
      </c>
      <c r="C391" s="4">
        <v>1510</v>
      </c>
      <c r="D391" s="4">
        <v>1211.7218543046358</v>
      </c>
      <c r="E391" s="25">
        <v>0.15</v>
      </c>
      <c r="F391" s="22">
        <v>0.75</v>
      </c>
    </row>
    <row r="392" spans="1:6" x14ac:dyDescent="0.3">
      <c r="A392" s="1" t="s">
        <v>7</v>
      </c>
      <c r="B392" s="2">
        <v>46079</v>
      </c>
      <c r="C392" s="4">
        <v>1588</v>
      </c>
      <c r="D392" s="4">
        <v>1211.712846347607</v>
      </c>
      <c r="E392" s="25">
        <v>0.15</v>
      </c>
      <c r="F392" s="22">
        <v>0.75</v>
      </c>
    </row>
    <row r="393" spans="1:6" x14ac:dyDescent="0.3">
      <c r="A393" s="1" t="s">
        <v>8</v>
      </c>
      <c r="B393" s="2">
        <v>46080</v>
      </c>
      <c r="C393" s="4">
        <v>1510</v>
      </c>
      <c r="D393" s="4">
        <v>1211.7218543046358</v>
      </c>
      <c r="E393" s="25">
        <v>0.15</v>
      </c>
      <c r="F393" s="22">
        <v>0.75</v>
      </c>
    </row>
    <row r="394" spans="1:6" x14ac:dyDescent="0.3">
      <c r="A394" s="1" t="s">
        <v>2</v>
      </c>
      <c r="B394" s="2">
        <v>46081</v>
      </c>
      <c r="C394" s="4">
        <v>1133</v>
      </c>
      <c r="D394" s="4">
        <v>1211.7828773168578</v>
      </c>
      <c r="E394" s="25">
        <v>0.15</v>
      </c>
      <c r="F394" s="2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F1A7-4BD6-422C-BEC1-306E3D7482DC}">
  <dimension ref="A1:AD67"/>
  <sheetViews>
    <sheetView showGridLines="0" workbookViewId="0">
      <selection activeCell="J1" sqref="J1:Q1"/>
    </sheetView>
  </sheetViews>
  <sheetFormatPr defaultRowHeight="14.4" x14ac:dyDescent="0.3"/>
  <cols>
    <col min="1" max="1" width="11.5546875" customWidth="1"/>
    <col min="2" max="2" width="8.88671875" style="1" bestFit="1" customWidth="1"/>
    <col min="3" max="3" width="9" style="1" bestFit="1" customWidth="1"/>
    <col min="4" max="4" width="12.44140625" style="1" bestFit="1" customWidth="1"/>
    <col min="5" max="5" width="10.5546875" style="1" bestFit="1" customWidth="1"/>
    <col min="6" max="6" width="7.33203125" style="1" bestFit="1" customWidth="1"/>
    <col min="7" max="7" width="10.21875" style="1" bestFit="1" customWidth="1"/>
    <col min="8" max="8" width="8.33203125" style="1" bestFit="1" customWidth="1"/>
    <col min="10" max="10" width="14.33203125" customWidth="1"/>
    <col min="12" max="12" width="9" bestFit="1" customWidth="1"/>
    <col min="13" max="13" width="12.44140625" bestFit="1" customWidth="1"/>
    <col min="14" max="14" width="10.5546875" bestFit="1" customWidth="1"/>
    <col min="15" max="15" width="7.33203125" bestFit="1" customWidth="1"/>
    <col min="16" max="16" width="10.21875" bestFit="1" customWidth="1"/>
    <col min="17" max="17" width="8.33203125" bestFit="1" customWidth="1"/>
    <col min="19" max="19" width="13" bestFit="1" customWidth="1"/>
    <col min="20" max="20" width="15.109375" bestFit="1" customWidth="1"/>
    <col min="22" max="22" width="13.33203125" customWidth="1"/>
    <col min="24" max="24" width="9" bestFit="1" customWidth="1"/>
    <col min="25" max="25" width="12.44140625" bestFit="1" customWidth="1"/>
    <col min="26" max="26" width="10.5546875" bestFit="1" customWidth="1"/>
    <col min="27" max="27" width="7.33203125" bestFit="1" customWidth="1"/>
    <col min="28" max="28" width="10.21875" bestFit="1" customWidth="1"/>
    <col min="29" max="29" width="8.33203125" bestFit="1" customWidth="1"/>
  </cols>
  <sheetData>
    <row r="1" spans="1:29" ht="18" x14ac:dyDescent="0.3">
      <c r="A1" s="30" t="s">
        <v>39</v>
      </c>
      <c r="B1" s="30"/>
      <c r="C1" s="30"/>
      <c r="D1" s="30"/>
      <c r="E1" s="30"/>
      <c r="F1" s="30"/>
      <c r="G1" s="30"/>
      <c r="H1" s="30"/>
      <c r="I1" s="29"/>
      <c r="J1" s="30" t="s">
        <v>36</v>
      </c>
      <c r="K1" s="30"/>
      <c r="L1" s="30"/>
      <c r="M1" s="30"/>
      <c r="N1" s="30"/>
      <c r="O1" s="30"/>
      <c r="P1" s="30"/>
      <c r="Q1" s="30"/>
      <c r="R1" s="29"/>
      <c r="S1" s="29"/>
      <c r="T1" s="29"/>
      <c r="U1" s="29"/>
      <c r="V1" s="30" t="s">
        <v>37</v>
      </c>
      <c r="W1" s="30"/>
      <c r="X1" s="30"/>
      <c r="Y1" s="30"/>
      <c r="Z1" s="30"/>
      <c r="AA1" s="30"/>
      <c r="AB1" s="30"/>
      <c r="AC1" s="30"/>
    </row>
    <row r="2" spans="1:29" ht="18" x14ac:dyDescent="0.35">
      <c r="A2" s="28"/>
      <c r="B2" s="28"/>
      <c r="C2" s="28"/>
      <c r="D2" s="28"/>
      <c r="E2" s="28"/>
      <c r="F2" s="28"/>
      <c r="G2" s="28"/>
      <c r="H2" s="28"/>
    </row>
    <row r="3" spans="1:29" x14ac:dyDescent="0.3">
      <c r="A3" s="9" t="s">
        <v>19</v>
      </c>
      <c r="B3" s="11">
        <f>B66/SUM($B$66:$H$66)</f>
        <v>0.17140498033467397</v>
      </c>
      <c r="C3" s="11">
        <f t="shared" ref="C3:H3" si="0">C66/SUM($B$66:$H$66)</f>
        <v>0.17379165327929263</v>
      </c>
      <c r="D3" s="11">
        <f t="shared" si="0"/>
        <v>0.17389341713135212</v>
      </c>
      <c r="E3" s="11">
        <f t="shared" si="0"/>
        <v>0.15951251503608943</v>
      </c>
      <c r="F3" s="11">
        <f t="shared" si="0"/>
        <v>0.14594899264037925</v>
      </c>
      <c r="G3" s="11">
        <f t="shared" si="0"/>
        <v>0.10832037517704693</v>
      </c>
      <c r="H3" s="11">
        <f t="shared" si="0"/>
        <v>6.712806640116574E-2</v>
      </c>
      <c r="J3" s="9" t="s">
        <v>20</v>
      </c>
      <c r="U3" s="7" t="s">
        <v>9</v>
      </c>
      <c r="V3" s="1">
        <f>GETPIVOTDATA("Forecast",$S$5)</f>
        <v>10901</v>
      </c>
    </row>
    <row r="4" spans="1:29" x14ac:dyDescent="0.3">
      <c r="A4" s="9" t="s">
        <v>10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V4" s="9" t="s">
        <v>10</v>
      </c>
      <c r="W4" s="9" t="s">
        <v>11</v>
      </c>
      <c r="X4" s="9" t="s">
        <v>12</v>
      </c>
      <c r="Y4" s="9" t="s">
        <v>13</v>
      </c>
      <c r="Z4" s="9" t="s">
        <v>14</v>
      </c>
      <c r="AA4" s="9" t="s">
        <v>15</v>
      </c>
      <c r="AB4" s="9" t="s">
        <v>16</v>
      </c>
      <c r="AC4" s="9" t="s">
        <v>17</v>
      </c>
    </row>
    <row r="5" spans="1:29" ht="15.6" x14ac:dyDescent="0.3">
      <c r="A5" s="10">
        <v>0.33333333333333331</v>
      </c>
      <c r="B5" s="6">
        <v>9.7555555555555564</v>
      </c>
      <c r="C5" s="6">
        <v>9.4444444444444446</v>
      </c>
      <c r="D5" s="6">
        <v>9.3777777777777782</v>
      </c>
      <c r="E5" s="6">
        <v>8.6363636363636367</v>
      </c>
      <c r="F5" s="6">
        <v>9.3181818181818183</v>
      </c>
      <c r="G5" s="6">
        <v>5.6829268292682924</v>
      </c>
      <c r="H5" s="6">
        <v>2.5</v>
      </c>
      <c r="J5" s="10">
        <v>0.33333333333333331</v>
      </c>
      <c r="K5" s="11">
        <f>B5/SUM($B$5:$B$65)</f>
        <v>1.2819814636356253E-2</v>
      </c>
      <c r="L5" s="11">
        <f>C5/SUM($C$5:$C$65)</f>
        <v>1.2240542818450172E-2</v>
      </c>
      <c r="M5" s="11">
        <f>D5/SUM($D$5:$D$65)</f>
        <v>1.2147026285101375E-2</v>
      </c>
      <c r="N5" s="11">
        <f>E5/SUM($E$5:$E$65)</f>
        <v>1.2195211408115957E-2</v>
      </c>
      <c r="O5" s="11">
        <f>F5/SUM($F$5:$F$65)</f>
        <v>1.4380806884080567E-2</v>
      </c>
      <c r="P5" s="11">
        <f>G5/SUM($G$5:$G$65)</f>
        <v>1.1817213572044429E-2</v>
      </c>
      <c r="Q5" s="11">
        <f>H5/SUM($H$5:$H$65)</f>
        <v>8.3885915155388659E-3</v>
      </c>
      <c r="S5" s="15" t="s">
        <v>21</v>
      </c>
      <c r="T5" t="s">
        <v>23</v>
      </c>
      <c r="V5" s="10">
        <v>0.33333333333333331</v>
      </c>
      <c r="W5" s="4">
        <f>$V$3*$B$3*K5</f>
        <v>23.953640204538658</v>
      </c>
      <c r="X5" s="4">
        <f>$V$3*$C$3*L5</f>
        <v>23.189742794826717</v>
      </c>
      <c r="Y5" s="4">
        <f>$V$3*$D$3*M5</f>
        <v>23.02605049274559</v>
      </c>
      <c r="Z5" s="4">
        <f>$V$3*$E$3*N5</f>
        <v>21.205593678691812</v>
      </c>
      <c r="AA5" s="4">
        <f>$V$3*$F$3*O5</f>
        <v>22.879719495430635</v>
      </c>
      <c r="AB5" s="4">
        <f>$V$3*$G$3*P5</f>
        <v>13.953770628623134</v>
      </c>
      <c r="AC5" s="4">
        <f>$V$3*$H$3*Q5</f>
        <v>6.1384613280423661</v>
      </c>
    </row>
    <row r="6" spans="1:29" ht="15.6" x14ac:dyDescent="0.3">
      <c r="A6" s="10">
        <v>0.34375</v>
      </c>
      <c r="B6" s="6">
        <v>8.5555555555555554</v>
      </c>
      <c r="C6" s="6">
        <v>7.6222222222222218</v>
      </c>
      <c r="D6" s="6">
        <v>8.3181818181818183</v>
      </c>
      <c r="E6" s="6">
        <v>7.5681818181818183</v>
      </c>
      <c r="F6" s="6">
        <v>7.8409090909090908</v>
      </c>
      <c r="G6" s="6">
        <v>4.9024390243902438</v>
      </c>
      <c r="H6" s="6">
        <v>2.4523809523809526</v>
      </c>
      <c r="J6" s="10">
        <v>0.34375</v>
      </c>
      <c r="K6" s="11">
        <f t="shared" ref="K6:K65" si="1">B6/SUM($B$5:$B$65)</f>
        <v>1.1242889829150698E-2</v>
      </c>
      <c r="L6" s="11">
        <f t="shared" ref="L6:L65" si="2">C6/SUM($C$5:$C$65)</f>
        <v>9.8788380864197854E-3</v>
      </c>
      <c r="M6" s="11">
        <f t="shared" ref="M6:M65" si="3">D6/SUM($D$5:$D$65)</f>
        <v>1.0774532686106184E-2</v>
      </c>
      <c r="N6" s="11">
        <f t="shared" ref="N6:N65" si="4">E6/SUM($E$5:$E$65)</f>
        <v>1.0686856312901614E-2</v>
      </c>
      <c r="O6" s="11">
        <f t="shared" ref="O6:O65" si="5">F6/SUM($F$5:$F$65)</f>
        <v>1.2100922865872672E-2</v>
      </c>
      <c r="P6" s="11">
        <f t="shared" ref="P6:P65" si="6">G6/SUM($G$5:$G$65)</f>
        <v>1.0194248617943907E-2</v>
      </c>
      <c r="Q6" s="11">
        <f t="shared" ref="Q6:Q65" si="7">H6/SUM($H$5:$H$65)</f>
        <v>8.2288088200047921E-3</v>
      </c>
      <c r="S6" s="16">
        <v>45992</v>
      </c>
      <c r="T6" s="12">
        <v>1885</v>
      </c>
      <c r="V6" s="10">
        <v>0.34375</v>
      </c>
      <c r="W6" s="4">
        <f t="shared" ref="W6:W65" si="8">$V$3*$B$3*K6</f>
        <v>21.007178767078319</v>
      </c>
      <c r="X6" s="4">
        <f t="shared" ref="X6:X65" si="9">$V$3*$C$3*L6</f>
        <v>18.715486537942503</v>
      </c>
      <c r="Y6" s="4">
        <f t="shared" ref="Y6:Y65" si="10">$V$3*$D$3*M6</f>
        <v>20.424334964213692</v>
      </c>
      <c r="Z6" s="4">
        <f t="shared" ref="Z6:Z65" si="11">$V$3*$E$3*N6</f>
        <v>18.582796565800979</v>
      </c>
      <c r="AA6" s="4">
        <f t="shared" ref="AA6:AA65" si="12">$V$3*$F$3*O6</f>
        <v>19.252446892496511</v>
      </c>
      <c r="AB6" s="4">
        <f t="shared" ref="AB6:AB65" si="13">$V$3*$G$3*P6</f>
        <v>12.037372945722103</v>
      </c>
      <c r="AC6" s="4">
        <f t="shared" ref="AC6:AC65" si="14">$V$3*$H$3*Q6</f>
        <v>6.0215382551272736</v>
      </c>
    </row>
    <row r="7" spans="1:29" ht="15.6" x14ac:dyDescent="0.3">
      <c r="A7" s="10">
        <v>0.35416666666666669</v>
      </c>
      <c r="B7" s="6">
        <v>7.5111111111111111</v>
      </c>
      <c r="C7" s="6">
        <v>8.2222222222222214</v>
      </c>
      <c r="D7" s="6">
        <v>8.045454545454545</v>
      </c>
      <c r="E7" s="6">
        <v>7.4545454545454541</v>
      </c>
      <c r="F7" s="6">
        <v>7.5227272727272725</v>
      </c>
      <c r="G7" s="6">
        <v>5.3658536585365857</v>
      </c>
      <c r="H7" s="6">
        <v>2.9047619047619047</v>
      </c>
      <c r="J7" s="10">
        <v>0.35416666666666669</v>
      </c>
      <c r="K7" s="11">
        <f t="shared" si="1"/>
        <v>9.8703812006569764E-3</v>
      </c>
      <c r="L7" s="11">
        <f t="shared" si="2"/>
        <v>1.065647257135662E-2</v>
      </c>
      <c r="M7" s="11">
        <f t="shared" si="3"/>
        <v>1.0421269319348603E-2</v>
      </c>
      <c r="N7" s="11">
        <f t="shared" si="4"/>
        <v>1.0526393004900087E-2</v>
      </c>
      <c r="O7" s="11">
        <f t="shared" si="5"/>
        <v>1.1609870923489432E-2</v>
      </c>
      <c r="P7" s="11">
        <f t="shared" si="6"/>
        <v>1.1157884059441093E-2</v>
      </c>
      <c r="Q7" s="11">
        <f t="shared" si="7"/>
        <v>9.7467444275784916E-3</v>
      </c>
      <c r="S7" s="16">
        <v>45993</v>
      </c>
      <c r="T7" s="12">
        <v>1799</v>
      </c>
      <c r="V7" s="10">
        <v>0.35416666666666669</v>
      </c>
      <c r="W7" s="4">
        <f t="shared" si="8"/>
        <v>18.442666034473952</v>
      </c>
      <c r="X7" s="4">
        <f t="shared" si="9"/>
        <v>20.188717256672671</v>
      </c>
      <c r="Y7" s="4">
        <f t="shared" si="10"/>
        <v>19.754684637518157</v>
      </c>
      <c r="Z7" s="4">
        <f t="shared" si="11"/>
        <v>18.303775596344508</v>
      </c>
      <c r="AA7" s="4">
        <f t="shared" si="12"/>
        <v>18.471188178018391</v>
      </c>
      <c r="AB7" s="4">
        <f t="shared" si="13"/>
        <v>13.17523406994459</v>
      </c>
      <c r="AC7" s="4">
        <f t="shared" si="14"/>
        <v>7.1323074478206534</v>
      </c>
    </row>
    <row r="8" spans="1:29" ht="15.6" x14ac:dyDescent="0.3">
      <c r="A8" s="10">
        <v>0.36458333333333331</v>
      </c>
      <c r="B8" s="6">
        <v>8.3555555555555561</v>
      </c>
      <c r="C8" s="6">
        <v>8.5111111111111111</v>
      </c>
      <c r="D8" s="6">
        <v>8.204545454545455</v>
      </c>
      <c r="E8" s="6">
        <v>8</v>
      </c>
      <c r="F8" s="6">
        <v>8.6136363636363633</v>
      </c>
      <c r="G8" s="6">
        <v>6.0487804878048781</v>
      </c>
      <c r="H8" s="6">
        <v>3.2142857142857144</v>
      </c>
      <c r="J8" s="10">
        <v>0.36458333333333331</v>
      </c>
      <c r="K8" s="11">
        <f t="shared" si="1"/>
        <v>1.0980069027949775E-2</v>
      </c>
      <c r="L8" s="11">
        <f t="shared" si="2"/>
        <v>1.1030889175215096E-2</v>
      </c>
      <c r="M8" s="11">
        <f t="shared" si="3"/>
        <v>1.0627339616623859E-2</v>
      </c>
      <c r="N8" s="11">
        <f t="shared" si="4"/>
        <v>1.1296616883307412E-2</v>
      </c>
      <c r="O8" s="11">
        <f t="shared" si="5"/>
        <v>1.3293477583089108E-2</v>
      </c>
      <c r="P8" s="11">
        <f t="shared" si="6"/>
        <v>1.2577978394279049E-2</v>
      </c>
      <c r="Q8" s="11">
        <f t="shared" si="7"/>
        <v>1.078533194854997E-2</v>
      </c>
      <c r="S8" s="16">
        <v>45994</v>
      </c>
      <c r="T8" s="12">
        <v>1756</v>
      </c>
      <c r="V8" s="10">
        <v>0.36458333333333331</v>
      </c>
      <c r="W8" s="4">
        <f t="shared" si="8"/>
        <v>20.516101860834933</v>
      </c>
      <c r="X8" s="4">
        <f t="shared" si="9"/>
        <v>20.898050565690898</v>
      </c>
      <c r="Y8" s="4">
        <f t="shared" si="10"/>
        <v>20.14531399475722</v>
      </c>
      <c r="Z8" s="4">
        <f t="shared" si="11"/>
        <v>19.643076249735572</v>
      </c>
      <c r="AA8" s="4">
        <f t="shared" si="12"/>
        <v>21.149789484800511</v>
      </c>
      <c r="AB8" s="4">
        <f t="shared" si="13"/>
        <v>14.852082042482992</v>
      </c>
      <c r="AC8" s="4">
        <f t="shared" si="14"/>
        <v>7.8923074217687557</v>
      </c>
    </row>
    <row r="9" spans="1:29" ht="15.6" x14ac:dyDescent="0.3">
      <c r="A9" s="10">
        <v>0.375</v>
      </c>
      <c r="B9" s="6">
        <v>13.044444444444444</v>
      </c>
      <c r="C9" s="6">
        <v>12.266666666666667</v>
      </c>
      <c r="D9" s="6">
        <v>13.113636363636363</v>
      </c>
      <c r="E9" s="6">
        <v>11.136363636363637</v>
      </c>
      <c r="F9" s="6">
        <v>10.090909090909092</v>
      </c>
      <c r="G9" s="6">
        <v>9.6585365853658534</v>
      </c>
      <c r="H9" s="6">
        <v>4.7857142857142856</v>
      </c>
      <c r="J9" s="10">
        <v>0.375</v>
      </c>
      <c r="K9" s="11">
        <f t="shared" si="1"/>
        <v>1.7141756700549248E-2</v>
      </c>
      <c r="L9" s="11">
        <f t="shared" si="2"/>
        <v>1.5898305025375283E-2</v>
      </c>
      <c r="M9" s="11">
        <f t="shared" si="3"/>
        <v>1.6986080218260296E-2</v>
      </c>
      <c r="N9" s="11">
        <f t="shared" si="4"/>
        <v>1.5725404184149524E-2</v>
      </c>
      <c r="O9" s="11">
        <f t="shared" si="5"/>
        <v>1.5573361601297004E-2</v>
      </c>
      <c r="P9" s="11">
        <f t="shared" si="6"/>
        <v>2.0084191306993966E-2</v>
      </c>
      <c r="Q9" s="11">
        <f t="shared" si="7"/>
        <v>1.6058160901174401E-2</v>
      </c>
      <c r="S9" s="16">
        <v>45995</v>
      </c>
      <c r="T9" s="12">
        <v>1670</v>
      </c>
      <c r="V9" s="10">
        <v>0.375</v>
      </c>
      <c r="W9" s="4">
        <f t="shared" si="8"/>
        <v>32.029127107207728</v>
      </c>
      <c r="X9" s="4">
        <f t="shared" si="9"/>
        <v>30.119383582927878</v>
      </c>
      <c r="Y9" s="4">
        <f t="shared" si="10"/>
        <v>32.199019875276775</v>
      </c>
      <c r="Z9" s="4">
        <f t="shared" si="11"/>
        <v>27.34405500673418</v>
      </c>
      <c r="AA9" s="4">
        <f t="shared" si="12"/>
        <v>24.777062087734642</v>
      </c>
      <c r="AB9" s="4">
        <f t="shared" si="13"/>
        <v>23.715421325900262</v>
      </c>
      <c r="AC9" s="4">
        <f t="shared" si="14"/>
        <v>11.750768827966816</v>
      </c>
    </row>
    <row r="10" spans="1:29" ht="15.6" x14ac:dyDescent="0.3">
      <c r="A10" s="10">
        <v>0.38541666666666669</v>
      </c>
      <c r="B10" s="6">
        <v>12.355555555555556</v>
      </c>
      <c r="C10" s="6">
        <v>11.666666666666666</v>
      </c>
      <c r="D10" s="6">
        <v>10.681818181818182</v>
      </c>
      <c r="E10" s="6">
        <v>11.25</v>
      </c>
      <c r="F10" s="6">
        <v>10.954545454545455</v>
      </c>
      <c r="G10" s="6">
        <v>8.7317073170731714</v>
      </c>
      <c r="H10" s="6">
        <v>4.3571428571428568</v>
      </c>
      <c r="J10" s="10">
        <v>0.38541666666666669</v>
      </c>
      <c r="K10" s="11">
        <f t="shared" si="1"/>
        <v>1.6236485051968282E-2</v>
      </c>
      <c r="L10" s="11">
        <f t="shared" si="2"/>
        <v>1.5120670540438448E-2</v>
      </c>
      <c r="M10" s="11">
        <f t="shared" si="3"/>
        <v>1.3836148531338542E-2</v>
      </c>
      <c r="N10" s="11">
        <f t="shared" si="4"/>
        <v>1.5885867492151047E-2</v>
      </c>
      <c r="O10" s="11">
        <f t="shared" si="5"/>
        <v>1.6906216873480082E-2</v>
      </c>
      <c r="P10" s="11">
        <f t="shared" si="6"/>
        <v>1.8156920423999596E-2</v>
      </c>
      <c r="Q10" s="11">
        <f t="shared" si="7"/>
        <v>1.4620116641367736E-2</v>
      </c>
      <c r="S10" s="16">
        <v>45996</v>
      </c>
      <c r="T10" s="12">
        <v>1542</v>
      </c>
      <c r="V10" s="10">
        <v>0.38541666666666669</v>
      </c>
      <c r="W10" s="4">
        <f t="shared" si="8"/>
        <v>30.337639985702715</v>
      </c>
      <c r="X10" s="4">
        <f t="shared" si="9"/>
        <v>28.64615286419771</v>
      </c>
      <c r="Y10" s="4">
        <f t="shared" si="10"/>
        <v>26.22797112890829</v>
      </c>
      <c r="Z10" s="4">
        <f t="shared" si="11"/>
        <v>27.623075976190645</v>
      </c>
      <c r="AA10" s="4">
        <f t="shared" si="12"/>
        <v>26.897621455603822</v>
      </c>
      <c r="AB10" s="4">
        <f t="shared" si="13"/>
        <v>21.439699077455288</v>
      </c>
      <c r="AC10" s="4">
        <f t="shared" si="14"/>
        <v>10.69846117173098</v>
      </c>
    </row>
    <row r="11" spans="1:29" ht="15.6" x14ac:dyDescent="0.3">
      <c r="A11" s="10">
        <v>0.39583333333333331</v>
      </c>
      <c r="B11" s="6">
        <v>11.422222222222222</v>
      </c>
      <c r="C11" s="6">
        <v>11.533333333333333</v>
      </c>
      <c r="D11" s="6">
        <v>11.931818181818182</v>
      </c>
      <c r="E11" s="6">
        <v>11.704545454545455</v>
      </c>
      <c r="F11" s="6">
        <v>11</v>
      </c>
      <c r="G11" s="6">
        <v>8.5609756097560972</v>
      </c>
      <c r="H11" s="6">
        <v>5.5714285714285712</v>
      </c>
      <c r="J11" s="10">
        <v>0.39583333333333331</v>
      </c>
      <c r="K11" s="11">
        <f t="shared" si="1"/>
        <v>1.5009987979697296E-2</v>
      </c>
      <c r="L11" s="11">
        <f t="shared" si="2"/>
        <v>1.4947862877119151E-2</v>
      </c>
      <c r="M11" s="11">
        <f t="shared" si="3"/>
        <v>1.5455272295644116E-2</v>
      </c>
      <c r="N11" s="11">
        <f t="shared" si="4"/>
        <v>1.6527720724157154E-2</v>
      </c>
      <c r="O11" s="11">
        <f t="shared" si="5"/>
        <v>1.6976367150963401E-2</v>
      </c>
      <c r="P11" s="11">
        <f t="shared" si="6"/>
        <v>1.7801896840290106E-2</v>
      </c>
      <c r="Q11" s="11">
        <f t="shared" si="7"/>
        <v>1.8694575377486613E-2</v>
      </c>
      <c r="S11" s="16">
        <v>45997</v>
      </c>
      <c r="T11" s="12">
        <v>1371</v>
      </c>
      <c r="V11" s="10">
        <v>0.39583333333333331</v>
      </c>
      <c r="W11" s="4">
        <f t="shared" si="8"/>
        <v>28.0459477565669</v>
      </c>
      <c r="X11" s="4">
        <f t="shared" si="9"/>
        <v>28.318768260035448</v>
      </c>
      <c r="Y11" s="4">
        <f t="shared" si="10"/>
        <v>29.297201792929474</v>
      </c>
      <c r="Z11" s="4">
        <f t="shared" si="11"/>
        <v>28.739159854016538</v>
      </c>
      <c r="AA11" s="4">
        <f t="shared" si="12"/>
        <v>27.009229843386407</v>
      </c>
      <c r="AB11" s="4">
        <f t="shared" si="13"/>
        <v>21.020487084320688</v>
      </c>
      <c r="AC11" s="4">
        <f t="shared" si="14"/>
        <v>13.679999531065842</v>
      </c>
    </row>
    <row r="12" spans="1:29" ht="15.6" x14ac:dyDescent="0.3">
      <c r="A12" s="10">
        <v>0.40625</v>
      </c>
      <c r="B12" s="6">
        <v>10.911111111111111</v>
      </c>
      <c r="C12" s="6">
        <v>12.911111111111111</v>
      </c>
      <c r="D12" s="6">
        <v>12.613636363636363</v>
      </c>
      <c r="E12" s="6">
        <v>12.068181818181818</v>
      </c>
      <c r="F12" s="6">
        <v>11.022727272727273</v>
      </c>
      <c r="G12" s="6">
        <v>10.170731707317072</v>
      </c>
      <c r="H12" s="6">
        <v>4.666666666666667</v>
      </c>
      <c r="J12" s="10">
        <v>0.40625</v>
      </c>
      <c r="K12" s="11">
        <f t="shared" si="1"/>
        <v>1.4338334821072709E-2</v>
      </c>
      <c r="L12" s="11">
        <f t="shared" si="2"/>
        <v>1.6733542064751885E-2</v>
      </c>
      <c r="M12" s="11">
        <f t="shared" si="3"/>
        <v>1.6338430712538064E-2</v>
      </c>
      <c r="N12" s="11">
        <f t="shared" si="4"/>
        <v>1.7041203309762033E-2</v>
      </c>
      <c r="O12" s="11">
        <f t="shared" si="5"/>
        <v>1.701144228970506E-2</v>
      </c>
      <c r="P12" s="11">
        <f t="shared" si="6"/>
        <v>2.1149262058122432E-2</v>
      </c>
      <c r="Q12" s="11">
        <f t="shared" si="7"/>
        <v>1.5658704162339217E-2</v>
      </c>
      <c r="S12" s="16">
        <v>45998</v>
      </c>
      <c r="T12" s="12">
        <v>878</v>
      </c>
      <c r="V12" s="10">
        <v>0.40625</v>
      </c>
      <c r="W12" s="4">
        <f t="shared" si="8"/>
        <v>26.79097344061157</v>
      </c>
      <c r="X12" s="4">
        <f t="shared" si="9"/>
        <v>31.70174250304547</v>
      </c>
      <c r="Y12" s="4">
        <f t="shared" si="10"/>
        <v>30.971327609668297</v>
      </c>
      <c r="Z12" s="4">
        <f t="shared" si="11"/>
        <v>29.63202695627724</v>
      </c>
      <c r="AA12" s="4">
        <f t="shared" si="12"/>
        <v>27.065034037277702</v>
      </c>
      <c r="AB12" s="4">
        <f t="shared" si="13"/>
        <v>24.973057305304064</v>
      </c>
      <c r="AC12" s="4">
        <f t="shared" si="14"/>
        <v>11.458461145679085</v>
      </c>
    </row>
    <row r="13" spans="1:29" ht="15.6" x14ac:dyDescent="0.3">
      <c r="A13" s="10">
        <v>0.41666666666666669</v>
      </c>
      <c r="B13" s="6">
        <v>12.888888888888889</v>
      </c>
      <c r="C13" s="6">
        <v>14.6</v>
      </c>
      <c r="D13" s="6">
        <v>13.25</v>
      </c>
      <c r="E13" s="6">
        <v>13.340909090909092</v>
      </c>
      <c r="F13" s="6">
        <v>12.681818181818182</v>
      </c>
      <c r="G13" s="6">
        <v>10.926829268292684</v>
      </c>
      <c r="H13" s="6">
        <v>5.8809523809523814</v>
      </c>
      <c r="J13" s="10">
        <v>0.41666666666666669</v>
      </c>
      <c r="K13" s="11">
        <f t="shared" si="1"/>
        <v>1.6937340521837416E-2</v>
      </c>
      <c r="L13" s="11">
        <f t="shared" si="2"/>
        <v>1.8922439133462973E-2</v>
      </c>
      <c r="M13" s="11">
        <f t="shared" si="3"/>
        <v>1.7162711901639087E-2</v>
      </c>
      <c r="N13" s="11">
        <f t="shared" si="4"/>
        <v>1.8838392359379123E-2</v>
      </c>
      <c r="O13" s="11">
        <f t="shared" si="5"/>
        <v>1.9571927417846233E-2</v>
      </c>
      <c r="P13" s="11">
        <f t="shared" si="6"/>
        <v>2.2721509357407316E-2</v>
      </c>
      <c r="Q13" s="11">
        <f t="shared" si="7"/>
        <v>1.9733162898458095E-2</v>
      </c>
      <c r="S13" s="17" t="s">
        <v>22</v>
      </c>
      <c r="T13" s="12">
        <v>10901</v>
      </c>
      <c r="V13" s="10">
        <v>0.41666666666666669</v>
      </c>
      <c r="W13" s="4">
        <f t="shared" si="8"/>
        <v>31.647178402351752</v>
      </c>
      <c r="X13" s="4">
        <f t="shared" si="9"/>
        <v>35.848614155767422</v>
      </c>
      <c r="Y13" s="4">
        <f t="shared" si="10"/>
        <v>32.533845038624541</v>
      </c>
      <c r="Z13" s="4">
        <f t="shared" si="11"/>
        <v>32.757061814189719</v>
      </c>
      <c r="AA13" s="4">
        <f t="shared" si="12"/>
        <v>31.13874019134218</v>
      </c>
      <c r="AB13" s="4">
        <f t="shared" si="13"/>
        <v>26.829567560614439</v>
      </c>
      <c r="AC13" s="4">
        <f t="shared" si="14"/>
        <v>14.439999505013947</v>
      </c>
    </row>
    <row r="14" spans="1:29" ht="15.6" x14ac:dyDescent="0.3">
      <c r="A14" s="10">
        <v>0.42708333333333331</v>
      </c>
      <c r="B14" s="6">
        <v>13.333333333333334</v>
      </c>
      <c r="C14" s="6">
        <v>13.088888888888889</v>
      </c>
      <c r="D14" s="6">
        <v>13.477272727272727</v>
      </c>
      <c r="E14" s="6">
        <v>13.545454545454545</v>
      </c>
      <c r="F14" s="6">
        <v>12.363636363636363</v>
      </c>
      <c r="G14" s="6">
        <v>11.878048780487806</v>
      </c>
      <c r="H14" s="6">
        <v>6.0476190476190474</v>
      </c>
      <c r="J14" s="10">
        <v>0.42708333333333331</v>
      </c>
      <c r="K14" s="11">
        <f t="shared" si="1"/>
        <v>1.7521386746728363E-2</v>
      </c>
      <c r="L14" s="11">
        <f t="shared" si="2"/>
        <v>1.6963952282510946E-2</v>
      </c>
      <c r="M14" s="11">
        <f t="shared" si="3"/>
        <v>1.7457098040603736E-2</v>
      </c>
      <c r="N14" s="11">
        <f t="shared" si="4"/>
        <v>1.9127226313781869E-2</v>
      </c>
      <c r="O14" s="11">
        <f t="shared" si="5"/>
        <v>1.9080875475462996E-2</v>
      </c>
      <c r="P14" s="11">
        <f t="shared" si="6"/>
        <v>2.4699497895217328E-2</v>
      </c>
      <c r="Q14" s="11">
        <f t="shared" si="7"/>
        <v>2.029240233282735E-2</v>
      </c>
      <c r="V14" s="10">
        <v>0.42708333333333331</v>
      </c>
      <c r="W14" s="4">
        <f t="shared" si="8"/>
        <v>32.738460416225955</v>
      </c>
      <c r="X14" s="4">
        <f t="shared" si="9"/>
        <v>32.138255308595149</v>
      </c>
      <c r="Y14" s="4">
        <f t="shared" si="10"/>
        <v>33.091886977537484</v>
      </c>
      <c r="Z14" s="4">
        <f t="shared" si="11"/>
        <v>33.259299559211364</v>
      </c>
      <c r="AA14" s="4">
        <f t="shared" si="12"/>
        <v>30.357481476864063</v>
      </c>
      <c r="AB14" s="4">
        <f t="shared" si="13"/>
        <v>29.16517723665007</v>
      </c>
      <c r="AC14" s="4">
        <f t="shared" si="14"/>
        <v>14.849230260216769</v>
      </c>
    </row>
    <row r="15" spans="1:29" ht="15.6" x14ac:dyDescent="0.3">
      <c r="A15" s="10">
        <v>0.4375</v>
      </c>
      <c r="B15" s="6">
        <v>12.644444444444444</v>
      </c>
      <c r="C15" s="6">
        <v>13.71111111111111</v>
      </c>
      <c r="D15" s="6">
        <v>15.613636363636363</v>
      </c>
      <c r="E15" s="6">
        <v>13.25</v>
      </c>
      <c r="F15" s="6">
        <v>12.681818181818182</v>
      </c>
      <c r="G15" s="6">
        <v>11.365853658536585</v>
      </c>
      <c r="H15" s="6">
        <v>5.2619047619047619</v>
      </c>
      <c r="J15" s="10">
        <v>0.4375</v>
      </c>
      <c r="K15" s="11">
        <f t="shared" si="1"/>
        <v>1.6616115098147397E-2</v>
      </c>
      <c r="L15" s="11">
        <f t="shared" si="2"/>
        <v>1.777038804466766E-2</v>
      </c>
      <c r="M15" s="11">
        <f t="shared" si="3"/>
        <v>2.0224327746871443E-2</v>
      </c>
      <c r="N15" s="11">
        <f t="shared" si="4"/>
        <v>1.8710021712977903E-2</v>
      </c>
      <c r="O15" s="11">
        <f t="shared" si="5"/>
        <v>1.9571927417846233E-2</v>
      </c>
      <c r="P15" s="11">
        <f t="shared" si="6"/>
        <v>2.3634427144088858E-2</v>
      </c>
      <c r="Q15" s="11">
        <f t="shared" si="7"/>
        <v>1.7655987856515135E-2</v>
      </c>
      <c r="V15" s="10">
        <v>0.4375</v>
      </c>
      <c r="W15" s="4">
        <f t="shared" si="8"/>
        <v>31.046973294720946</v>
      </c>
      <c r="X15" s="4">
        <f t="shared" si="9"/>
        <v>33.666050128019016</v>
      </c>
      <c r="Y15" s="4">
        <f t="shared" si="10"/>
        <v>38.337481203319143</v>
      </c>
      <c r="Z15" s="4">
        <f t="shared" si="11"/>
        <v>32.533845038624541</v>
      </c>
      <c r="AA15" s="4">
        <f t="shared" si="12"/>
        <v>31.13874019134218</v>
      </c>
      <c r="AB15" s="4">
        <f t="shared" si="13"/>
        <v>27.907541257246269</v>
      </c>
      <c r="AC15" s="4">
        <f t="shared" si="14"/>
        <v>12.919999557117739</v>
      </c>
    </row>
    <row r="16" spans="1:29" ht="15.6" x14ac:dyDescent="0.3">
      <c r="A16" s="10">
        <v>0.44791666666666669</v>
      </c>
      <c r="B16" s="6">
        <v>13.2</v>
      </c>
      <c r="C16" s="6">
        <v>14.911111111111111</v>
      </c>
      <c r="D16" s="6">
        <v>14.363636363636363</v>
      </c>
      <c r="E16" s="6">
        <v>12.772727272727273</v>
      </c>
      <c r="F16" s="6">
        <v>12.318181818181818</v>
      </c>
      <c r="G16" s="6">
        <v>11.536585365853659</v>
      </c>
      <c r="H16" s="6">
        <v>5.8571428571428568</v>
      </c>
      <c r="J16" s="10">
        <v>0.44791666666666669</v>
      </c>
      <c r="K16" s="11">
        <f t="shared" si="1"/>
        <v>1.7346172879261077E-2</v>
      </c>
      <c r="L16" s="11">
        <f t="shared" si="2"/>
        <v>1.9325657014541333E-2</v>
      </c>
      <c r="M16" s="11">
        <f t="shared" si="3"/>
        <v>1.860520398256587E-2</v>
      </c>
      <c r="N16" s="11">
        <f t="shared" si="4"/>
        <v>1.8036075819371493E-2</v>
      </c>
      <c r="O16" s="11">
        <f t="shared" si="5"/>
        <v>1.9010725197979677E-2</v>
      </c>
      <c r="P16" s="11">
        <f t="shared" si="6"/>
        <v>2.3989450727798348E-2</v>
      </c>
      <c r="Q16" s="11">
        <f t="shared" si="7"/>
        <v>1.9653271550691055E-2</v>
      </c>
      <c r="V16" s="10">
        <v>0.44791666666666669</v>
      </c>
      <c r="W16" s="4">
        <f t="shared" si="8"/>
        <v>32.411075812063693</v>
      </c>
      <c r="X16" s="4">
        <f t="shared" si="9"/>
        <v>36.612511565479359</v>
      </c>
      <c r="Y16" s="4">
        <f t="shared" si="10"/>
        <v>35.268250539297959</v>
      </c>
      <c r="Z16" s="4">
        <f t="shared" si="11"/>
        <v>31.361956966907361</v>
      </c>
      <c r="AA16" s="4">
        <f t="shared" si="12"/>
        <v>30.245873089081474</v>
      </c>
      <c r="AB16" s="4">
        <f t="shared" si="13"/>
        <v>28.326753250380868</v>
      </c>
      <c r="AC16" s="4">
        <f t="shared" si="14"/>
        <v>14.381537968556399</v>
      </c>
    </row>
    <row r="17" spans="1:29" ht="15.6" x14ac:dyDescent="0.3">
      <c r="A17" s="10">
        <v>0.45833333333333331</v>
      </c>
      <c r="B17" s="6">
        <v>16.022222222222222</v>
      </c>
      <c r="C17" s="6">
        <v>17.399999999999999</v>
      </c>
      <c r="D17" s="6">
        <v>20.568181818181817</v>
      </c>
      <c r="E17" s="6">
        <v>15.522727272727273</v>
      </c>
      <c r="F17" s="6">
        <v>16.90909090909091</v>
      </c>
      <c r="G17" s="6">
        <v>12.731707317073171</v>
      </c>
      <c r="H17" s="6">
        <v>7.0238095238095237</v>
      </c>
      <c r="J17" s="10">
        <v>0.45833333333333331</v>
      </c>
      <c r="K17" s="11">
        <f t="shared" si="1"/>
        <v>2.105486640731858E-2</v>
      </c>
      <c r="L17" s="11">
        <f t="shared" si="2"/>
        <v>2.2551400063168199E-2</v>
      </c>
      <c r="M17" s="11">
        <f t="shared" si="3"/>
        <v>2.6641945576300809E-2</v>
      </c>
      <c r="N17" s="11">
        <f t="shared" si="4"/>
        <v>2.1919287873008418E-2</v>
      </c>
      <c r="O17" s="11">
        <f t="shared" si="5"/>
        <v>2.6095903223794979E-2</v>
      </c>
      <c r="P17" s="11">
        <f t="shared" si="6"/>
        <v>2.6474615813764774E-2</v>
      </c>
      <c r="Q17" s="11">
        <f t="shared" si="7"/>
        <v>2.356794759127586E-2</v>
      </c>
      <c r="V17" s="10">
        <v>0.45833333333333331</v>
      </c>
      <c r="W17" s="4">
        <f t="shared" si="8"/>
        <v>39.340716600164853</v>
      </c>
      <c r="X17" s="4">
        <f t="shared" si="9"/>
        <v>42.723690843174865</v>
      </c>
      <c r="Y17" s="4">
        <f t="shared" si="10"/>
        <v>50.502795471621283</v>
      </c>
      <c r="Z17" s="4">
        <f t="shared" si="11"/>
        <v>38.114264427753966</v>
      </c>
      <c r="AA17" s="4">
        <f t="shared" si="12"/>
        <v>41.518320255122909</v>
      </c>
      <c r="AB17" s="4">
        <f t="shared" si="13"/>
        <v>31.261237202323073</v>
      </c>
      <c r="AC17" s="4">
        <f t="shared" si="14"/>
        <v>17.246153254976171</v>
      </c>
    </row>
    <row r="18" spans="1:29" ht="15.6" x14ac:dyDescent="0.3">
      <c r="A18" s="10">
        <v>0.46875</v>
      </c>
      <c r="B18" s="6">
        <v>15.733333333333333</v>
      </c>
      <c r="C18" s="6">
        <v>16.555555555555557</v>
      </c>
      <c r="D18" s="6">
        <v>17.454545454545453</v>
      </c>
      <c r="E18" s="6">
        <v>15.431818181818182</v>
      </c>
      <c r="F18" s="6">
        <v>15.681818181818182</v>
      </c>
      <c r="G18" s="6">
        <v>13.195121951219512</v>
      </c>
      <c r="H18" s="6">
        <v>7.1428571428571432</v>
      </c>
      <c r="J18" s="10">
        <v>0.46875</v>
      </c>
      <c r="K18" s="11">
        <f t="shared" si="1"/>
        <v>2.0675236361139465E-2</v>
      </c>
      <c r="L18" s="11">
        <f t="shared" si="2"/>
        <v>2.1456951528812659E-2</v>
      </c>
      <c r="M18" s="11">
        <f t="shared" si="3"/>
        <v>2.2608855472485107E-2</v>
      </c>
      <c r="N18" s="11">
        <f t="shared" si="4"/>
        <v>2.1790917226607195E-2</v>
      </c>
      <c r="O18" s="11">
        <f t="shared" si="5"/>
        <v>2.4201845731745344E-2</v>
      </c>
      <c r="P18" s="11">
        <f t="shared" si="6"/>
        <v>2.7438251255261958E-2</v>
      </c>
      <c r="Q18" s="11">
        <f t="shared" si="7"/>
        <v>2.3967404330111047E-2</v>
      </c>
      <c r="V18" s="10">
        <v>0.46875</v>
      </c>
      <c r="W18" s="4">
        <f t="shared" si="8"/>
        <v>38.631383291146619</v>
      </c>
      <c r="X18" s="4">
        <f t="shared" si="9"/>
        <v>40.650255016813901</v>
      </c>
      <c r="Y18" s="4">
        <f t="shared" si="10"/>
        <v>42.857620908513972</v>
      </c>
      <c r="Z18" s="4">
        <f t="shared" si="11"/>
        <v>37.891047652188789</v>
      </c>
      <c r="AA18" s="4">
        <f t="shared" si="12"/>
        <v>38.504893784993023</v>
      </c>
      <c r="AB18" s="4">
        <f t="shared" si="13"/>
        <v>32.399098326545563</v>
      </c>
      <c r="AC18" s="4">
        <f t="shared" si="14"/>
        <v>17.538460937263903</v>
      </c>
    </row>
    <row r="19" spans="1:29" ht="15.6" x14ac:dyDescent="0.3">
      <c r="A19" s="10">
        <v>0.47916666666666669</v>
      </c>
      <c r="B19" s="6">
        <v>16.022222222222222</v>
      </c>
      <c r="C19" s="6">
        <v>16.888888888888889</v>
      </c>
      <c r="D19" s="6">
        <v>17.136363636363637</v>
      </c>
      <c r="E19" s="6">
        <v>15.613636363636363</v>
      </c>
      <c r="F19" s="6">
        <v>14.636363636363637</v>
      </c>
      <c r="G19" s="6">
        <v>12.731707317073171</v>
      </c>
      <c r="H19" s="6">
        <v>7</v>
      </c>
      <c r="J19" s="10">
        <v>0.47916666666666669</v>
      </c>
      <c r="K19" s="11">
        <f t="shared" si="1"/>
        <v>2.105486640731858E-2</v>
      </c>
      <c r="L19" s="11">
        <f t="shared" si="2"/>
        <v>2.1888970687110897E-2</v>
      </c>
      <c r="M19" s="11">
        <f t="shared" si="3"/>
        <v>2.2196714877934599E-2</v>
      </c>
      <c r="N19" s="11">
        <f t="shared" si="4"/>
        <v>2.2047658519409638E-2</v>
      </c>
      <c r="O19" s="11">
        <f t="shared" si="5"/>
        <v>2.2588389349628986E-2</v>
      </c>
      <c r="P19" s="11">
        <f t="shared" si="6"/>
        <v>2.6474615813764774E-2</v>
      </c>
      <c r="Q19" s="11">
        <f t="shared" si="7"/>
        <v>2.3488056243508824E-2</v>
      </c>
      <c r="V19" s="10">
        <v>0.47916666666666669</v>
      </c>
      <c r="W19" s="4">
        <f t="shared" si="8"/>
        <v>39.340716600164853</v>
      </c>
      <c r="X19" s="4">
        <f t="shared" si="9"/>
        <v>41.468716527219541</v>
      </c>
      <c r="Y19" s="4">
        <f t="shared" si="10"/>
        <v>42.076362194035859</v>
      </c>
      <c r="Z19" s="4">
        <f t="shared" si="11"/>
        <v>38.337481203319143</v>
      </c>
      <c r="AA19" s="4">
        <f t="shared" si="12"/>
        <v>35.937900865993484</v>
      </c>
      <c r="AB19" s="4">
        <f t="shared" si="13"/>
        <v>31.261237202323073</v>
      </c>
      <c r="AC19" s="4">
        <f t="shared" si="14"/>
        <v>17.187691718518625</v>
      </c>
    </row>
    <row r="20" spans="1:29" ht="15.6" x14ac:dyDescent="0.3">
      <c r="A20" s="10">
        <v>0.48958333333333331</v>
      </c>
      <c r="B20" s="6">
        <v>14.822222222222223</v>
      </c>
      <c r="C20" s="6">
        <v>16.8</v>
      </c>
      <c r="D20" s="6">
        <v>17.272727272727273</v>
      </c>
      <c r="E20" s="6">
        <v>14.431818181818182</v>
      </c>
      <c r="F20" s="6">
        <v>13.318181818181818</v>
      </c>
      <c r="G20" s="6">
        <v>12</v>
      </c>
      <c r="H20" s="6">
        <v>7.3571428571428568</v>
      </c>
      <c r="J20" s="10">
        <v>0.48958333333333331</v>
      </c>
      <c r="K20" s="11">
        <f t="shared" si="1"/>
        <v>1.9477941600113031E-2</v>
      </c>
      <c r="L20" s="11">
        <f t="shared" si="2"/>
        <v>2.1773765578231366E-2</v>
      </c>
      <c r="M20" s="11">
        <f t="shared" si="3"/>
        <v>2.237334656131339E-2</v>
      </c>
      <c r="N20" s="11">
        <f t="shared" si="4"/>
        <v>2.0378840116193769E-2</v>
      </c>
      <c r="O20" s="11">
        <f t="shared" si="5"/>
        <v>2.0554031302612713E-2</v>
      </c>
      <c r="P20" s="11">
        <f t="shared" si="6"/>
        <v>2.4953086169295532E-2</v>
      </c>
      <c r="Q20" s="11">
        <f t="shared" si="7"/>
        <v>2.4686426460014375E-2</v>
      </c>
      <c r="V20" s="10">
        <v>0.48958333333333331</v>
      </c>
      <c r="W20" s="4">
        <f t="shared" si="8"/>
        <v>36.394255162704518</v>
      </c>
      <c r="X20" s="4">
        <f t="shared" si="9"/>
        <v>41.2504601244447</v>
      </c>
      <c r="Y20" s="4">
        <f t="shared" si="10"/>
        <v>42.411187357383625</v>
      </c>
      <c r="Z20" s="4">
        <f t="shared" si="11"/>
        <v>35.435663120971839</v>
      </c>
      <c r="AA20" s="4">
        <f t="shared" si="12"/>
        <v>32.701257620298421</v>
      </c>
      <c r="AB20" s="4">
        <f t="shared" si="13"/>
        <v>29.464614374603354</v>
      </c>
      <c r="AC20" s="4">
        <f t="shared" si="14"/>
        <v>18.064614765381819</v>
      </c>
    </row>
    <row r="21" spans="1:29" ht="15.6" x14ac:dyDescent="0.3">
      <c r="A21" s="10">
        <v>0.5</v>
      </c>
      <c r="B21" s="6">
        <v>16.066666666666666</v>
      </c>
      <c r="C21" s="6">
        <v>17.68888888888889</v>
      </c>
      <c r="D21" s="6">
        <v>17.522727272727273</v>
      </c>
      <c r="E21" s="6">
        <v>15.931818181818182</v>
      </c>
      <c r="F21" s="6">
        <v>14.159090909090908</v>
      </c>
      <c r="G21" s="6">
        <v>14.219512195121951</v>
      </c>
      <c r="H21" s="6">
        <v>8.3095238095238102</v>
      </c>
      <c r="J21" s="10">
        <v>0.5</v>
      </c>
      <c r="K21" s="11">
        <f t="shared" si="1"/>
        <v>2.1113271029807677E-2</v>
      </c>
      <c r="L21" s="11">
        <f t="shared" si="2"/>
        <v>2.2925816667026679E-2</v>
      </c>
      <c r="M21" s="11">
        <f t="shared" si="3"/>
        <v>2.2697171314174504E-2</v>
      </c>
      <c r="N21" s="11">
        <f t="shared" si="4"/>
        <v>2.2496955781813908E-2</v>
      </c>
      <c r="O21" s="11">
        <f t="shared" si="5"/>
        <v>2.1851811436054129E-2</v>
      </c>
      <c r="P21" s="11">
        <f t="shared" si="6"/>
        <v>2.9568392757518894E-2</v>
      </c>
      <c r="Q21" s="11">
        <f t="shared" si="7"/>
        <v>2.7882080370695853E-2</v>
      </c>
      <c r="V21" s="10">
        <v>0.5</v>
      </c>
      <c r="W21" s="4">
        <f t="shared" si="8"/>
        <v>39.449844801552274</v>
      </c>
      <c r="X21" s="4">
        <f t="shared" si="9"/>
        <v>43.433024152193106</v>
      </c>
      <c r="Y21" s="4">
        <f t="shared" si="10"/>
        <v>43.025033490187859</v>
      </c>
      <c r="Z21" s="4">
        <f t="shared" si="11"/>
        <v>39.118739917797257</v>
      </c>
      <c r="AA21" s="4">
        <f t="shared" si="12"/>
        <v>34.766012794276307</v>
      </c>
      <c r="AB21" s="4">
        <f t="shared" si="13"/>
        <v>34.914370285353165</v>
      </c>
      <c r="AC21" s="4">
        <f t="shared" si="14"/>
        <v>20.403076223683676</v>
      </c>
    </row>
    <row r="22" spans="1:29" ht="15.6" x14ac:dyDescent="0.3">
      <c r="A22" s="10">
        <v>0.51041666666666663</v>
      </c>
      <c r="B22" s="6">
        <v>15.022222222222222</v>
      </c>
      <c r="C22" s="6">
        <v>16.244444444444444</v>
      </c>
      <c r="D22" s="6">
        <v>14.386363636363637</v>
      </c>
      <c r="E22" s="6">
        <v>12.977272727272727</v>
      </c>
      <c r="F22" s="6">
        <v>14.454545454545455</v>
      </c>
      <c r="G22" s="6">
        <v>12.170731707317072</v>
      </c>
      <c r="H22" s="6">
        <v>8.0952380952380949</v>
      </c>
      <c r="J22" s="10">
        <v>0.51041666666666663</v>
      </c>
      <c r="K22" s="11">
        <f t="shared" si="1"/>
        <v>1.9740762401313953E-2</v>
      </c>
      <c r="L22" s="11">
        <f t="shared" si="2"/>
        <v>2.1053733647734295E-2</v>
      </c>
      <c r="M22" s="11">
        <f t="shared" si="3"/>
        <v>1.8634642596462334E-2</v>
      </c>
      <c r="N22" s="11">
        <f t="shared" si="4"/>
        <v>1.8324909773774239E-2</v>
      </c>
      <c r="O22" s="11">
        <f t="shared" si="5"/>
        <v>2.230778823969571E-2</v>
      </c>
      <c r="P22" s="11">
        <f t="shared" si="6"/>
        <v>2.5308109753005022E-2</v>
      </c>
      <c r="Q22" s="11">
        <f t="shared" si="7"/>
        <v>2.7163058240792515E-2</v>
      </c>
      <c r="V22" s="10">
        <v>0.51041666666666663</v>
      </c>
      <c r="W22" s="4">
        <f t="shared" si="8"/>
        <v>36.885332068947903</v>
      </c>
      <c r="X22" s="4">
        <f t="shared" si="9"/>
        <v>39.886357607101949</v>
      </c>
      <c r="Y22" s="4">
        <f t="shared" si="10"/>
        <v>35.32405473318925</v>
      </c>
      <c r="Z22" s="4">
        <f t="shared" si="11"/>
        <v>31.864194711929009</v>
      </c>
      <c r="AA22" s="4">
        <f t="shared" si="12"/>
        <v>35.491467314863137</v>
      </c>
      <c r="AB22" s="4">
        <f t="shared" si="13"/>
        <v>29.883826367737957</v>
      </c>
      <c r="AC22" s="4">
        <f t="shared" si="14"/>
        <v>19.876922395565753</v>
      </c>
    </row>
    <row r="23" spans="1:29" ht="15.6" x14ac:dyDescent="0.3">
      <c r="A23" s="10">
        <v>0.52083333333333337</v>
      </c>
      <c r="B23" s="6">
        <v>15.444444444444445</v>
      </c>
      <c r="C23" s="6">
        <v>14</v>
      </c>
      <c r="D23" s="6">
        <v>15.204545454545455</v>
      </c>
      <c r="E23" s="6">
        <v>14.318181818181818</v>
      </c>
      <c r="F23" s="6">
        <v>13.136363636363637</v>
      </c>
      <c r="G23" s="6">
        <v>11.975609756097562</v>
      </c>
      <c r="H23" s="6">
        <v>7.5238095238095237</v>
      </c>
      <c r="J23" s="10">
        <v>0.52083333333333337</v>
      </c>
      <c r="K23" s="11">
        <f t="shared" si="1"/>
        <v>2.0295606314960354E-2</v>
      </c>
      <c r="L23" s="11">
        <f t="shared" si="2"/>
        <v>1.814480464852614E-2</v>
      </c>
      <c r="M23" s="11">
        <f t="shared" si="3"/>
        <v>1.9694432696735074E-2</v>
      </c>
      <c r="N23" s="11">
        <f t="shared" si="4"/>
        <v>2.0218376808192245E-2</v>
      </c>
      <c r="O23" s="11">
        <f t="shared" si="5"/>
        <v>2.0273430192679433E-2</v>
      </c>
      <c r="P23" s="11">
        <f t="shared" si="6"/>
        <v>2.4902368514479894E-2</v>
      </c>
      <c r="Q23" s="11">
        <f t="shared" si="7"/>
        <v>2.5245665894383634E-2</v>
      </c>
      <c r="V23" s="10">
        <v>0.52083333333333337</v>
      </c>
      <c r="W23" s="4">
        <f t="shared" si="8"/>
        <v>37.922049982128399</v>
      </c>
      <c r="X23" s="4">
        <f t="shared" si="9"/>
        <v>34.375383437037257</v>
      </c>
      <c r="Y23" s="4">
        <f t="shared" si="10"/>
        <v>37.333005713275845</v>
      </c>
      <c r="Z23" s="4">
        <f t="shared" si="11"/>
        <v>35.156642151515371</v>
      </c>
      <c r="AA23" s="4">
        <f t="shared" si="12"/>
        <v>32.254824069168066</v>
      </c>
      <c r="AB23" s="4">
        <f t="shared" si="13"/>
        <v>29.404726947012701</v>
      </c>
      <c r="AC23" s="4">
        <f t="shared" si="14"/>
        <v>18.473845520584643</v>
      </c>
    </row>
    <row r="24" spans="1:29" ht="15.6" x14ac:dyDescent="0.3">
      <c r="A24" s="10">
        <v>0.53125</v>
      </c>
      <c r="B24" s="6">
        <v>15.844444444444445</v>
      </c>
      <c r="C24" s="6">
        <v>16.155555555555555</v>
      </c>
      <c r="D24" s="6">
        <v>14.295454545454545</v>
      </c>
      <c r="E24" s="6">
        <v>13.045454545454545</v>
      </c>
      <c r="F24" s="6">
        <v>13.727272727272727</v>
      </c>
      <c r="G24" s="6">
        <v>12.317073170731707</v>
      </c>
      <c r="H24" s="6">
        <v>7</v>
      </c>
      <c r="J24" s="10">
        <v>0.53125</v>
      </c>
      <c r="K24" s="11">
        <f t="shared" si="1"/>
        <v>2.0821247917362205E-2</v>
      </c>
      <c r="L24" s="11">
        <f t="shared" si="2"/>
        <v>2.0938528538854764E-2</v>
      </c>
      <c r="M24" s="11">
        <f t="shared" si="3"/>
        <v>1.8516888140876476E-2</v>
      </c>
      <c r="N24" s="11">
        <f t="shared" si="4"/>
        <v>1.8421187758575156E-2</v>
      </c>
      <c r="O24" s="11">
        <f t="shared" si="5"/>
        <v>2.1185383799962588E-2</v>
      </c>
      <c r="P24" s="11">
        <f t="shared" si="6"/>
        <v>2.561241568189887E-2</v>
      </c>
      <c r="Q24" s="11">
        <f t="shared" si="7"/>
        <v>2.3488056243508824E-2</v>
      </c>
      <c r="V24" s="10">
        <v>0.53125</v>
      </c>
      <c r="W24" s="4">
        <f t="shared" si="8"/>
        <v>38.904203794615178</v>
      </c>
      <c r="X24" s="4">
        <f t="shared" si="9"/>
        <v>39.668101204327108</v>
      </c>
      <c r="Y24" s="4">
        <f t="shared" si="10"/>
        <v>35.10083795762408</v>
      </c>
      <c r="Z24" s="4">
        <f t="shared" si="11"/>
        <v>32.031607293602896</v>
      </c>
      <c r="AA24" s="4">
        <f t="shared" si="12"/>
        <v>33.705733110341711</v>
      </c>
      <c r="AB24" s="4">
        <f t="shared" si="13"/>
        <v>30.2431509332819</v>
      </c>
      <c r="AC24" s="4">
        <f t="shared" si="14"/>
        <v>17.187691718518625</v>
      </c>
    </row>
    <row r="25" spans="1:29" ht="15.6" x14ac:dyDescent="0.3">
      <c r="A25" s="10">
        <v>0.54166666666666663</v>
      </c>
      <c r="B25" s="6">
        <v>16.111111111111111</v>
      </c>
      <c r="C25" s="6">
        <v>16.355555555555554</v>
      </c>
      <c r="D25" s="6">
        <v>15.159090909090908</v>
      </c>
      <c r="E25" s="6">
        <v>15.568181818181818</v>
      </c>
      <c r="F25" s="6">
        <v>13.295454545454545</v>
      </c>
      <c r="G25" s="6">
        <v>13.658536585365853</v>
      </c>
      <c r="H25" s="6">
        <v>8.3333333333333339</v>
      </c>
      <c r="J25" s="10">
        <v>0.54166666666666663</v>
      </c>
      <c r="K25" s="11">
        <f t="shared" si="1"/>
        <v>2.117167565229677E-2</v>
      </c>
      <c r="L25" s="11">
        <f t="shared" si="2"/>
        <v>2.119774003383371E-2</v>
      </c>
      <c r="M25" s="11">
        <f t="shared" si="3"/>
        <v>1.9635555468942145E-2</v>
      </c>
      <c r="N25" s="11">
        <f t="shared" si="4"/>
        <v>2.1983473196209028E-2</v>
      </c>
      <c r="O25" s="11">
        <f t="shared" si="5"/>
        <v>2.051895616387105E-2</v>
      </c>
      <c r="P25" s="11">
        <f t="shared" si="6"/>
        <v>2.8401886696759141E-2</v>
      </c>
      <c r="Q25" s="11">
        <f t="shared" si="7"/>
        <v>2.7961971718462889E-2</v>
      </c>
      <c r="V25" s="10">
        <v>0.54166666666666663</v>
      </c>
      <c r="W25" s="4">
        <f t="shared" si="8"/>
        <v>39.558973002939688</v>
      </c>
      <c r="X25" s="4">
        <f t="shared" si="9"/>
        <v>40.159178110570501</v>
      </c>
      <c r="Y25" s="4">
        <f t="shared" si="10"/>
        <v>37.221397325493257</v>
      </c>
      <c r="Z25" s="4">
        <f t="shared" si="11"/>
        <v>38.225872815536555</v>
      </c>
      <c r="AA25" s="4">
        <f t="shared" si="12"/>
        <v>32.645453426407123</v>
      </c>
      <c r="AB25" s="4">
        <f t="shared" si="13"/>
        <v>33.536959450768045</v>
      </c>
      <c r="AC25" s="4">
        <f t="shared" si="14"/>
        <v>20.461537760141223</v>
      </c>
    </row>
    <row r="26" spans="1:29" ht="15.6" x14ac:dyDescent="0.3">
      <c r="A26" s="10">
        <v>0.55208333333333337</v>
      </c>
      <c r="B26" s="6">
        <v>17.600000000000001</v>
      </c>
      <c r="C26" s="6">
        <v>15.222222222222221</v>
      </c>
      <c r="D26" s="6">
        <v>14.068181818181818</v>
      </c>
      <c r="E26" s="6">
        <v>13.886363636363637</v>
      </c>
      <c r="F26" s="6">
        <v>12.772727272727273</v>
      </c>
      <c r="G26" s="6">
        <v>11.560975609756097</v>
      </c>
      <c r="H26" s="6">
        <v>7.5952380952380949</v>
      </c>
      <c r="J26" s="10">
        <v>0.55208333333333337</v>
      </c>
      <c r="K26" s="11">
        <f t="shared" si="1"/>
        <v>2.3128230505681441E-2</v>
      </c>
      <c r="L26" s="11">
        <f t="shared" si="2"/>
        <v>1.972887489561969E-2</v>
      </c>
      <c r="M26" s="11">
        <f t="shared" si="3"/>
        <v>1.8222502001911826E-2</v>
      </c>
      <c r="N26" s="11">
        <f t="shared" si="4"/>
        <v>1.9608616237786446E-2</v>
      </c>
      <c r="O26" s="11">
        <f t="shared" si="5"/>
        <v>1.9712227972812874E-2</v>
      </c>
      <c r="P26" s="11">
        <f t="shared" si="6"/>
        <v>2.404016838261399E-2</v>
      </c>
      <c r="Q26" s="11">
        <f t="shared" si="7"/>
        <v>2.5485339937684742E-2</v>
      </c>
      <c r="V26" s="10">
        <v>0.55208333333333337</v>
      </c>
      <c r="W26" s="4">
        <f t="shared" si="8"/>
        <v>43.214767749418264</v>
      </c>
      <c r="X26" s="4">
        <f t="shared" si="9"/>
        <v>37.376408975191296</v>
      </c>
      <c r="Y26" s="4">
        <f t="shared" si="10"/>
        <v>34.542796018711137</v>
      </c>
      <c r="Z26" s="4">
        <f t="shared" si="11"/>
        <v>34.096362467580782</v>
      </c>
      <c r="AA26" s="4">
        <f t="shared" si="12"/>
        <v>31.361956966907357</v>
      </c>
      <c r="AB26" s="4">
        <f t="shared" si="13"/>
        <v>28.386640677971528</v>
      </c>
      <c r="AC26" s="4">
        <f t="shared" si="14"/>
        <v>18.649230129957282</v>
      </c>
    </row>
    <row r="27" spans="1:29" ht="15.6" x14ac:dyDescent="0.3">
      <c r="A27" s="10">
        <v>0.5625</v>
      </c>
      <c r="B27" s="6">
        <v>17.466666666666665</v>
      </c>
      <c r="C27" s="6">
        <v>15.866666666666667</v>
      </c>
      <c r="D27" s="6">
        <v>15.840909090909092</v>
      </c>
      <c r="E27" s="6">
        <v>14.568181818181818</v>
      </c>
      <c r="F27" s="6">
        <v>14.068181818181818</v>
      </c>
      <c r="G27" s="6">
        <v>11.658536585365853</v>
      </c>
      <c r="H27" s="6">
        <v>8.5476190476190474</v>
      </c>
      <c r="J27" s="10">
        <v>0.5625</v>
      </c>
      <c r="K27" s="11">
        <f t="shared" si="1"/>
        <v>2.2953016638214151E-2</v>
      </c>
      <c r="L27" s="11">
        <f t="shared" si="2"/>
        <v>2.0564111934996292E-2</v>
      </c>
      <c r="M27" s="11">
        <f t="shared" si="3"/>
        <v>2.0518713885836096E-2</v>
      </c>
      <c r="N27" s="11">
        <f t="shared" si="4"/>
        <v>2.0571396085795602E-2</v>
      </c>
      <c r="O27" s="11">
        <f t="shared" si="5"/>
        <v>2.1711510881087491E-2</v>
      </c>
      <c r="P27" s="11">
        <f t="shared" si="6"/>
        <v>2.4243039001876555E-2</v>
      </c>
      <c r="Q27" s="11">
        <f t="shared" si="7"/>
        <v>2.8680993848366216E-2</v>
      </c>
      <c r="V27" s="10">
        <v>0.5625</v>
      </c>
      <c r="W27" s="4">
        <f t="shared" si="8"/>
        <v>42.887383145255995</v>
      </c>
      <c r="X27" s="4">
        <f t="shared" si="9"/>
        <v>38.958767895308888</v>
      </c>
      <c r="Y27" s="4">
        <f t="shared" si="10"/>
        <v>38.895523142232086</v>
      </c>
      <c r="Z27" s="4">
        <f t="shared" si="11"/>
        <v>35.770488284319612</v>
      </c>
      <c r="AA27" s="4">
        <f t="shared" si="12"/>
        <v>34.54279601871113</v>
      </c>
      <c r="AB27" s="4">
        <f t="shared" si="13"/>
        <v>28.626190388334155</v>
      </c>
      <c r="AC27" s="4">
        <f t="shared" si="14"/>
        <v>20.987691588259136</v>
      </c>
    </row>
    <row r="28" spans="1:29" ht="15.6" x14ac:dyDescent="0.3">
      <c r="A28" s="10">
        <v>0.57291666666666663</v>
      </c>
      <c r="B28" s="6">
        <v>14.844444444444445</v>
      </c>
      <c r="C28" s="6">
        <v>13.444444444444445</v>
      </c>
      <c r="D28" s="6">
        <v>14.931818181818182</v>
      </c>
      <c r="E28" s="6">
        <v>14.136363636363637</v>
      </c>
      <c r="F28" s="6">
        <v>14.204545454545455</v>
      </c>
      <c r="G28" s="6">
        <v>11.658536585365853</v>
      </c>
      <c r="H28" s="6">
        <v>6.8095238095238093</v>
      </c>
      <c r="J28" s="10">
        <v>0.57291666666666663</v>
      </c>
      <c r="K28" s="11">
        <f t="shared" si="1"/>
        <v>1.9507143911357577E-2</v>
      </c>
      <c r="L28" s="11">
        <f t="shared" si="2"/>
        <v>1.7424772718029068E-2</v>
      </c>
      <c r="M28" s="11">
        <f t="shared" si="3"/>
        <v>1.9341169329977495E-2</v>
      </c>
      <c r="N28" s="11">
        <f t="shared" si="4"/>
        <v>1.9961635515389802E-2</v>
      </c>
      <c r="O28" s="11">
        <f t="shared" si="5"/>
        <v>2.1921961713537448E-2</v>
      </c>
      <c r="P28" s="11">
        <f t="shared" si="6"/>
        <v>2.4243039001876555E-2</v>
      </c>
      <c r="Q28" s="11">
        <f t="shared" si="7"/>
        <v>2.284892546137253E-2</v>
      </c>
      <c r="V28" s="10">
        <v>0.57291666666666663</v>
      </c>
      <c r="W28" s="4">
        <f t="shared" si="8"/>
        <v>36.448819263398228</v>
      </c>
      <c r="X28" s="4">
        <f t="shared" si="9"/>
        <v>33.011280919694499</v>
      </c>
      <c r="Y28" s="4">
        <f t="shared" si="10"/>
        <v>36.663355386580314</v>
      </c>
      <c r="Z28" s="4">
        <f t="shared" si="11"/>
        <v>34.710208600385016</v>
      </c>
      <c r="AA28" s="4">
        <f t="shared" si="12"/>
        <v>34.877621182058895</v>
      </c>
      <c r="AB28" s="4">
        <f t="shared" si="13"/>
        <v>28.626190388334155</v>
      </c>
      <c r="AC28" s="4">
        <f t="shared" si="14"/>
        <v>16.719999426858255</v>
      </c>
    </row>
    <row r="29" spans="1:29" ht="15.6" x14ac:dyDescent="0.3">
      <c r="A29" s="10">
        <v>0.58333333333333337</v>
      </c>
      <c r="B29" s="6">
        <v>17.488888888888887</v>
      </c>
      <c r="C29" s="6">
        <v>15.622222222222222</v>
      </c>
      <c r="D29" s="6">
        <v>15.954545454545455</v>
      </c>
      <c r="E29" s="6">
        <v>15.863636363636363</v>
      </c>
      <c r="F29" s="6">
        <v>14.886363636363637</v>
      </c>
      <c r="G29" s="6">
        <v>12.365853658536585</v>
      </c>
      <c r="H29" s="6">
        <v>8.2619047619047628</v>
      </c>
      <c r="J29" s="10">
        <v>0.58333333333333337</v>
      </c>
      <c r="K29" s="11">
        <f t="shared" si="1"/>
        <v>2.2982218949458698E-2</v>
      </c>
      <c r="L29" s="11">
        <f t="shared" si="2"/>
        <v>2.0247297885577577E-2</v>
      </c>
      <c r="M29" s="11">
        <f t="shared" si="3"/>
        <v>2.0665906955318419E-2</v>
      </c>
      <c r="N29" s="11">
        <f t="shared" si="4"/>
        <v>2.2400677797012995E-2</v>
      </c>
      <c r="O29" s="11">
        <f t="shared" si="5"/>
        <v>2.2974215875787247E-2</v>
      </c>
      <c r="P29" s="11">
        <f t="shared" si="6"/>
        <v>2.5713850991530153E-2</v>
      </c>
      <c r="Q29" s="11">
        <f t="shared" si="7"/>
        <v>2.7722297675161777E-2</v>
      </c>
      <c r="V29" s="10">
        <v>0.58333333333333337</v>
      </c>
      <c r="W29" s="4">
        <f t="shared" si="8"/>
        <v>42.941947245949699</v>
      </c>
      <c r="X29" s="4">
        <f t="shared" si="9"/>
        <v>38.358562787678075</v>
      </c>
      <c r="Y29" s="4">
        <f t="shared" si="10"/>
        <v>39.174544111688554</v>
      </c>
      <c r="Z29" s="4">
        <f t="shared" si="11"/>
        <v>38.951327336123377</v>
      </c>
      <c r="AA29" s="4">
        <f t="shared" si="12"/>
        <v>36.551746998797725</v>
      </c>
      <c r="AB29" s="4">
        <f t="shared" si="13"/>
        <v>30.362925788463215</v>
      </c>
      <c r="AC29" s="4">
        <f t="shared" si="14"/>
        <v>20.28615315076858</v>
      </c>
    </row>
    <row r="30" spans="1:29" ht="15.6" x14ac:dyDescent="0.3">
      <c r="A30" s="10">
        <v>0.59375</v>
      </c>
      <c r="B30" s="6">
        <v>15.466666666666667</v>
      </c>
      <c r="C30" s="6">
        <v>16.644444444444446</v>
      </c>
      <c r="D30" s="6">
        <v>16.84090909090909</v>
      </c>
      <c r="E30" s="6">
        <v>14.477272727272727</v>
      </c>
      <c r="F30" s="6">
        <v>13.681818181818182</v>
      </c>
      <c r="G30" s="6">
        <v>11.463414634146341</v>
      </c>
      <c r="H30" s="6">
        <v>7.4047619047619051</v>
      </c>
      <c r="J30" s="10">
        <v>0.59375</v>
      </c>
      <c r="K30" s="11">
        <f t="shared" si="1"/>
        <v>2.03248086262049E-2</v>
      </c>
      <c r="L30" s="11">
        <f t="shared" si="2"/>
        <v>2.1572156637692189E-2</v>
      </c>
      <c r="M30" s="11">
        <f t="shared" si="3"/>
        <v>2.1814012897280553E-2</v>
      </c>
      <c r="N30" s="11">
        <f t="shared" si="4"/>
        <v>2.0443025439394379E-2</v>
      </c>
      <c r="O30" s="11">
        <f t="shared" si="5"/>
        <v>2.1115233522479269E-2</v>
      </c>
      <c r="P30" s="11">
        <f t="shared" si="6"/>
        <v>2.3837297763351424E-2</v>
      </c>
      <c r="Q30" s="11">
        <f t="shared" si="7"/>
        <v>2.484620915554845E-2</v>
      </c>
      <c r="V30" s="10">
        <v>0.59375</v>
      </c>
      <c r="W30" s="4">
        <f t="shared" si="8"/>
        <v>37.976614082822103</v>
      </c>
      <c r="X30" s="4">
        <f t="shared" si="9"/>
        <v>40.868511419588735</v>
      </c>
      <c r="Y30" s="4">
        <f t="shared" si="10"/>
        <v>41.350907673449029</v>
      </c>
      <c r="Z30" s="4">
        <f t="shared" si="11"/>
        <v>35.547271508754427</v>
      </c>
      <c r="AA30" s="4">
        <f t="shared" si="12"/>
        <v>33.594124722559123</v>
      </c>
      <c r="AB30" s="4">
        <f t="shared" si="13"/>
        <v>28.147090967608897</v>
      </c>
      <c r="AC30" s="4">
        <f t="shared" si="14"/>
        <v>18.181537838296912</v>
      </c>
    </row>
    <row r="31" spans="1:29" ht="15.6" x14ac:dyDescent="0.3">
      <c r="A31" s="10">
        <v>0.60416666666666663</v>
      </c>
      <c r="B31" s="6">
        <v>17</v>
      </c>
      <c r="C31" s="6">
        <v>17.711111111111112</v>
      </c>
      <c r="D31" s="6">
        <v>16.136363636363637</v>
      </c>
      <c r="E31" s="6">
        <v>13.181818181818182</v>
      </c>
      <c r="F31" s="6">
        <v>13.454545454545455</v>
      </c>
      <c r="G31" s="6">
        <v>12.463414634146341</v>
      </c>
      <c r="H31" s="6">
        <v>7.2142857142857144</v>
      </c>
      <c r="J31" s="10">
        <v>0.60416666666666663</v>
      </c>
      <c r="K31" s="11">
        <f t="shared" si="1"/>
        <v>2.2339768102078661E-2</v>
      </c>
      <c r="L31" s="11">
        <f t="shared" si="2"/>
        <v>2.2954617944246559E-2</v>
      </c>
      <c r="M31" s="11">
        <f t="shared" si="3"/>
        <v>2.090141586649014E-2</v>
      </c>
      <c r="N31" s="11">
        <f t="shared" si="4"/>
        <v>1.8613743728176986E-2</v>
      </c>
      <c r="O31" s="11">
        <f t="shared" si="5"/>
        <v>2.0764482135062674E-2</v>
      </c>
      <c r="P31" s="11">
        <f t="shared" si="6"/>
        <v>2.5916721610792719E-2</v>
      </c>
      <c r="Q31" s="11">
        <f t="shared" si="7"/>
        <v>2.4207078373412155E-2</v>
      </c>
      <c r="V31" s="10">
        <v>0.60416666666666663</v>
      </c>
      <c r="W31" s="4">
        <f t="shared" si="8"/>
        <v>41.741537030688086</v>
      </c>
      <c r="X31" s="4">
        <f t="shared" si="9"/>
        <v>43.487588252886809</v>
      </c>
      <c r="Y31" s="4">
        <f t="shared" si="10"/>
        <v>39.620977662818909</v>
      </c>
      <c r="Z31" s="4">
        <f t="shared" si="11"/>
        <v>32.366432456950655</v>
      </c>
      <c r="AA31" s="4">
        <f t="shared" si="12"/>
        <v>33.036082783646187</v>
      </c>
      <c r="AB31" s="4">
        <f t="shared" si="13"/>
        <v>30.602475498825843</v>
      </c>
      <c r="AC31" s="4">
        <f t="shared" si="14"/>
        <v>17.713845546636541</v>
      </c>
    </row>
    <row r="32" spans="1:29" ht="15.6" x14ac:dyDescent="0.3">
      <c r="A32" s="10">
        <v>0.61458333333333337</v>
      </c>
      <c r="B32" s="6">
        <v>16</v>
      </c>
      <c r="C32" s="6">
        <v>16.111111111111111</v>
      </c>
      <c r="D32" s="6">
        <v>16.795454545454547</v>
      </c>
      <c r="E32" s="6">
        <v>15.409090909090908</v>
      </c>
      <c r="F32" s="6">
        <v>14.227272727272727</v>
      </c>
      <c r="G32" s="6">
        <v>12.317073170731707</v>
      </c>
      <c r="H32" s="6">
        <v>7.3095238095238093</v>
      </c>
      <c r="J32" s="10">
        <v>0.61458333333333337</v>
      </c>
      <c r="K32" s="11">
        <f t="shared" si="1"/>
        <v>2.1025664096074034E-2</v>
      </c>
      <c r="L32" s="11">
        <f t="shared" si="2"/>
        <v>2.0880925984414999E-2</v>
      </c>
      <c r="M32" s="11">
        <f t="shared" si="3"/>
        <v>2.1755135669487623E-2</v>
      </c>
      <c r="N32" s="11">
        <f t="shared" si="4"/>
        <v>2.1758824565006888E-2</v>
      </c>
      <c r="O32" s="11">
        <f t="shared" si="5"/>
        <v>2.1957036852279108E-2</v>
      </c>
      <c r="P32" s="11">
        <f t="shared" si="6"/>
        <v>2.561241568189887E-2</v>
      </c>
      <c r="Q32" s="11">
        <f t="shared" si="7"/>
        <v>2.4526643764480303E-2</v>
      </c>
      <c r="V32" s="10">
        <v>0.61458333333333337</v>
      </c>
      <c r="W32" s="4">
        <f t="shared" si="8"/>
        <v>39.286152499471143</v>
      </c>
      <c r="X32" s="4">
        <f t="shared" si="9"/>
        <v>39.558973002939695</v>
      </c>
      <c r="Y32" s="4">
        <f t="shared" si="10"/>
        <v>41.239299285666441</v>
      </c>
      <c r="Z32" s="4">
        <f t="shared" si="11"/>
        <v>37.835243458297491</v>
      </c>
      <c r="AA32" s="4">
        <f t="shared" si="12"/>
        <v>34.933425375950186</v>
      </c>
      <c r="AB32" s="4">
        <f t="shared" si="13"/>
        <v>30.2431509332819</v>
      </c>
      <c r="AC32" s="4">
        <f t="shared" si="14"/>
        <v>17.947691692466726</v>
      </c>
    </row>
    <row r="33" spans="1:29" ht="15.6" x14ac:dyDescent="0.3">
      <c r="A33" s="10">
        <v>0.625</v>
      </c>
      <c r="B33" s="6">
        <v>19.066666666666666</v>
      </c>
      <c r="C33" s="6">
        <v>17.111111111111111</v>
      </c>
      <c r="D33" s="6">
        <v>16.75</v>
      </c>
      <c r="E33" s="6">
        <v>15.568181818181818</v>
      </c>
      <c r="F33" s="6">
        <v>15.318181818181818</v>
      </c>
      <c r="G33" s="6">
        <v>10.780487804878049</v>
      </c>
      <c r="H33" s="6">
        <v>8.0238095238095237</v>
      </c>
      <c r="J33" s="10">
        <v>0.625</v>
      </c>
      <c r="K33" s="11">
        <f t="shared" si="1"/>
        <v>2.5055583047821559E-2</v>
      </c>
      <c r="L33" s="11">
        <f t="shared" si="2"/>
        <v>2.2176983459309723E-2</v>
      </c>
      <c r="M33" s="11">
        <f t="shared" si="3"/>
        <v>2.1696258441694694E-2</v>
      </c>
      <c r="N33" s="11">
        <f t="shared" si="4"/>
        <v>2.1983473196209028E-2</v>
      </c>
      <c r="O33" s="11">
        <f t="shared" si="5"/>
        <v>2.3640643511878785E-2</v>
      </c>
      <c r="P33" s="11">
        <f t="shared" si="6"/>
        <v>2.2417203428513468E-2</v>
      </c>
      <c r="Q33" s="11">
        <f t="shared" si="7"/>
        <v>2.6923384197491407E-2</v>
      </c>
      <c r="V33" s="10">
        <v>0.625</v>
      </c>
      <c r="W33" s="4">
        <f t="shared" si="8"/>
        <v>46.815998395203117</v>
      </c>
      <c r="X33" s="4">
        <f t="shared" si="9"/>
        <v>42.014357534156638</v>
      </c>
      <c r="Y33" s="4">
        <f t="shared" si="10"/>
        <v>41.127690897883852</v>
      </c>
      <c r="Z33" s="4">
        <f t="shared" si="11"/>
        <v>38.225872815536555</v>
      </c>
      <c r="AA33" s="4">
        <f t="shared" si="12"/>
        <v>37.612026682732314</v>
      </c>
      <c r="AB33" s="4">
        <f t="shared" si="13"/>
        <v>26.470242995070496</v>
      </c>
      <c r="AC33" s="4">
        <f t="shared" si="14"/>
        <v>19.701537786193118</v>
      </c>
    </row>
    <row r="34" spans="1:29" ht="15.6" x14ac:dyDescent="0.3">
      <c r="A34" s="10">
        <v>0.63541666666666663</v>
      </c>
      <c r="B34" s="6">
        <v>16.844444444444445</v>
      </c>
      <c r="C34" s="6">
        <v>15.577777777777778</v>
      </c>
      <c r="D34" s="6">
        <v>16.795454545454547</v>
      </c>
      <c r="E34" s="6">
        <v>14.590909090909092</v>
      </c>
      <c r="F34" s="6">
        <v>14.931818181818182</v>
      </c>
      <c r="G34" s="6">
        <v>10.975609756097562</v>
      </c>
      <c r="H34" s="6">
        <v>7.3809523809523814</v>
      </c>
      <c r="J34" s="10">
        <v>0.63541666666666663</v>
      </c>
      <c r="K34" s="11">
        <f t="shared" si="1"/>
        <v>2.2135351923366832E-2</v>
      </c>
      <c r="L34" s="11">
        <f t="shared" si="2"/>
        <v>2.0189695331137812E-2</v>
      </c>
      <c r="M34" s="11">
        <f t="shared" si="3"/>
        <v>2.1755135669487623E-2</v>
      </c>
      <c r="N34" s="11">
        <f t="shared" si="4"/>
        <v>2.0603488747395905E-2</v>
      </c>
      <c r="O34" s="11">
        <f t="shared" si="5"/>
        <v>2.3044366153270567E-2</v>
      </c>
      <c r="P34" s="11">
        <f t="shared" si="6"/>
        <v>2.2822944667038599E-2</v>
      </c>
      <c r="Q34" s="11">
        <f t="shared" si="7"/>
        <v>2.4766317807781414E-2</v>
      </c>
      <c r="V34" s="10">
        <v>0.63541666666666663</v>
      </c>
      <c r="W34" s="4">
        <f t="shared" si="8"/>
        <v>41.359588325832121</v>
      </c>
      <c r="X34" s="4">
        <f t="shared" si="9"/>
        <v>38.249434586290654</v>
      </c>
      <c r="Y34" s="4">
        <f t="shared" si="10"/>
        <v>41.239299285666441</v>
      </c>
      <c r="Z34" s="4">
        <f t="shared" si="11"/>
        <v>35.826292478210902</v>
      </c>
      <c r="AA34" s="4">
        <f t="shared" si="12"/>
        <v>36.663355386580314</v>
      </c>
      <c r="AB34" s="4">
        <f t="shared" si="13"/>
        <v>26.949342415795755</v>
      </c>
      <c r="AC34" s="4">
        <f t="shared" si="14"/>
        <v>18.123076301839365</v>
      </c>
    </row>
    <row r="35" spans="1:29" ht="15.6" x14ac:dyDescent="0.3">
      <c r="A35" s="10">
        <v>0.64583333333333337</v>
      </c>
      <c r="B35" s="6">
        <v>16.533333333333335</v>
      </c>
      <c r="C35" s="6">
        <v>17.222222222222221</v>
      </c>
      <c r="D35" s="6">
        <v>17.068181818181817</v>
      </c>
      <c r="E35" s="6">
        <v>16.431818181818183</v>
      </c>
      <c r="F35" s="6">
        <v>15.613636363636363</v>
      </c>
      <c r="G35" s="6">
        <v>9.8292682926829276</v>
      </c>
      <c r="H35" s="6">
        <v>7.4761904761904763</v>
      </c>
      <c r="J35" s="10">
        <v>0.64583333333333337</v>
      </c>
      <c r="K35" s="11">
        <f t="shared" si="1"/>
        <v>2.172651956594317E-2</v>
      </c>
      <c r="L35" s="11">
        <f t="shared" si="2"/>
        <v>2.2320989845409138E-2</v>
      </c>
      <c r="M35" s="11">
        <f t="shared" si="3"/>
        <v>2.2108399036245202E-2</v>
      </c>
      <c r="N35" s="11">
        <f t="shared" si="4"/>
        <v>2.3202994337020624E-2</v>
      </c>
      <c r="O35" s="11">
        <f t="shared" si="5"/>
        <v>2.4096620315520362E-2</v>
      </c>
      <c r="P35" s="11">
        <f t="shared" si="6"/>
        <v>2.0439214890703456E-2</v>
      </c>
      <c r="Q35" s="11">
        <f t="shared" si="7"/>
        <v>2.5085883198849562E-2</v>
      </c>
      <c r="V35" s="10">
        <v>0.64583333333333337</v>
      </c>
      <c r="W35" s="4">
        <f t="shared" si="8"/>
        <v>40.595690916120184</v>
      </c>
      <c r="X35" s="4">
        <f t="shared" si="9"/>
        <v>42.287178037625189</v>
      </c>
      <c r="Y35" s="4">
        <f t="shared" si="10"/>
        <v>41.908949612361972</v>
      </c>
      <c r="Z35" s="4">
        <f t="shared" si="11"/>
        <v>40.346432183405739</v>
      </c>
      <c r="AA35" s="4">
        <f t="shared" si="12"/>
        <v>38.337481203319136</v>
      </c>
      <c r="AB35" s="4">
        <f t="shared" si="13"/>
        <v>24.134633319034865</v>
      </c>
      <c r="AC35" s="4">
        <f t="shared" si="14"/>
        <v>18.35692244766955</v>
      </c>
    </row>
    <row r="36" spans="1:29" ht="15.6" x14ac:dyDescent="0.3">
      <c r="A36" s="10">
        <v>0.65625</v>
      </c>
      <c r="B36" s="6">
        <v>16.555555555555557</v>
      </c>
      <c r="C36" s="6">
        <v>17.555555555555557</v>
      </c>
      <c r="D36" s="6">
        <v>16.772727272727273</v>
      </c>
      <c r="E36" s="6">
        <v>15.295454545454545</v>
      </c>
      <c r="F36" s="6">
        <v>14.977272727272727</v>
      </c>
      <c r="G36" s="6">
        <v>10.609756097560975</v>
      </c>
      <c r="H36" s="6">
        <v>7.0952380952380949</v>
      </c>
      <c r="J36" s="10">
        <v>0.65625</v>
      </c>
      <c r="K36" s="11">
        <f t="shared" si="1"/>
        <v>2.1755721877187717E-2</v>
      </c>
      <c r="L36" s="11">
        <f t="shared" si="2"/>
        <v>2.2753009003707383E-2</v>
      </c>
      <c r="M36" s="11">
        <f t="shared" si="3"/>
        <v>2.1725697055591159E-2</v>
      </c>
      <c r="N36" s="11">
        <f t="shared" si="4"/>
        <v>2.1598361257005365E-2</v>
      </c>
      <c r="O36" s="11">
        <f t="shared" si="5"/>
        <v>2.3114516430753886E-2</v>
      </c>
      <c r="P36" s="11">
        <f t="shared" si="6"/>
        <v>2.2062179844803978E-2</v>
      </c>
      <c r="Q36" s="11">
        <f t="shared" si="7"/>
        <v>2.3807621634576968E-2</v>
      </c>
      <c r="V36" s="10">
        <v>0.65625</v>
      </c>
      <c r="W36" s="4">
        <f t="shared" si="8"/>
        <v>40.650255016813894</v>
      </c>
      <c r="X36" s="4">
        <f t="shared" si="9"/>
        <v>43.105639548030844</v>
      </c>
      <c r="Y36" s="4">
        <f t="shared" si="10"/>
        <v>41.18349509177515</v>
      </c>
      <c r="Z36" s="4">
        <f t="shared" si="11"/>
        <v>37.556222488841023</v>
      </c>
      <c r="AA36" s="4">
        <f t="shared" si="12"/>
        <v>36.774963774362895</v>
      </c>
      <c r="AB36" s="4">
        <f t="shared" si="13"/>
        <v>26.051031001935893</v>
      </c>
      <c r="AC36" s="4">
        <f t="shared" si="14"/>
        <v>17.421537864348807</v>
      </c>
    </row>
    <row r="37" spans="1:29" ht="15.6" x14ac:dyDescent="0.3">
      <c r="A37" s="10">
        <v>0.66666666666666663</v>
      </c>
      <c r="B37" s="6">
        <v>17.777777777777779</v>
      </c>
      <c r="C37" s="6">
        <v>19.155555555555555</v>
      </c>
      <c r="D37" s="6">
        <v>18.977272727272727</v>
      </c>
      <c r="E37" s="6">
        <v>16.84090909090909</v>
      </c>
      <c r="F37" s="6">
        <v>15.045454545454545</v>
      </c>
      <c r="G37" s="6">
        <v>10.146341463414634</v>
      </c>
      <c r="H37" s="6">
        <v>6.5714285714285712</v>
      </c>
      <c r="J37" s="10">
        <v>0.66666666666666663</v>
      </c>
      <c r="K37" s="11">
        <f t="shared" si="1"/>
        <v>2.3361848995637816E-2</v>
      </c>
      <c r="L37" s="11">
        <f t="shared" si="2"/>
        <v>2.4826700963538936E-2</v>
      </c>
      <c r="M37" s="11">
        <f t="shared" si="3"/>
        <v>2.458124260354826E-2</v>
      </c>
      <c r="N37" s="11">
        <f t="shared" si="4"/>
        <v>2.3780662245826114E-2</v>
      </c>
      <c r="O37" s="11">
        <f t="shared" si="5"/>
        <v>2.3219741846978864E-2</v>
      </c>
      <c r="P37" s="11">
        <f t="shared" si="6"/>
        <v>2.1098544403306791E-2</v>
      </c>
      <c r="Q37" s="11">
        <f t="shared" si="7"/>
        <v>2.2050011983702159E-2</v>
      </c>
      <c r="V37" s="10">
        <v>0.66666666666666663</v>
      </c>
      <c r="W37" s="4">
        <f t="shared" si="8"/>
        <v>43.65128055496794</v>
      </c>
      <c r="X37" s="4">
        <f t="shared" si="9"/>
        <v>47.034254797977951</v>
      </c>
      <c r="Y37" s="4">
        <f t="shared" si="10"/>
        <v>46.596501899230681</v>
      </c>
      <c r="Z37" s="4">
        <f t="shared" si="11"/>
        <v>41.350907673449029</v>
      </c>
      <c r="AA37" s="4">
        <f t="shared" si="12"/>
        <v>36.942376356036782</v>
      </c>
      <c r="AB37" s="4">
        <f t="shared" si="13"/>
        <v>24.913169877713404</v>
      </c>
      <c r="AC37" s="4">
        <f t="shared" si="14"/>
        <v>16.135384062282789</v>
      </c>
    </row>
    <row r="38" spans="1:29" ht="15.6" x14ac:dyDescent="0.3">
      <c r="A38" s="10">
        <v>0.67708333333333337</v>
      </c>
      <c r="B38" s="6">
        <v>17.644444444444446</v>
      </c>
      <c r="C38" s="6">
        <v>19.488888888888887</v>
      </c>
      <c r="D38" s="6">
        <v>18.204545454545453</v>
      </c>
      <c r="E38" s="6">
        <v>15.363636363636363</v>
      </c>
      <c r="F38" s="6">
        <v>15.454545454545455</v>
      </c>
      <c r="G38" s="6">
        <v>9.3902439024390247</v>
      </c>
      <c r="H38" s="6">
        <v>7.2380952380952381</v>
      </c>
      <c r="J38" s="10">
        <v>0.67708333333333337</v>
      </c>
      <c r="K38" s="11">
        <f t="shared" si="1"/>
        <v>2.3186635128170534E-2</v>
      </c>
      <c r="L38" s="11">
        <f t="shared" si="2"/>
        <v>2.5258720121837178E-2</v>
      </c>
      <c r="M38" s="11">
        <f t="shared" si="3"/>
        <v>2.3580329731068449E-2</v>
      </c>
      <c r="N38" s="11">
        <f t="shared" si="4"/>
        <v>2.1694639241806282E-2</v>
      </c>
      <c r="O38" s="11">
        <f t="shared" si="5"/>
        <v>2.3851094344328746E-2</v>
      </c>
      <c r="P38" s="11">
        <f t="shared" si="6"/>
        <v>1.9526297104021911E-2</v>
      </c>
      <c r="Q38" s="11">
        <f t="shared" si="7"/>
        <v>2.4286969721179191E-2</v>
      </c>
      <c r="V38" s="10">
        <v>0.67708333333333337</v>
      </c>
      <c r="W38" s="4">
        <f t="shared" si="8"/>
        <v>43.323895950805678</v>
      </c>
      <c r="X38" s="4">
        <f t="shared" si="9"/>
        <v>47.852716308383599</v>
      </c>
      <c r="Y38" s="4">
        <f t="shared" si="10"/>
        <v>44.699159306926681</v>
      </c>
      <c r="Z38" s="4">
        <f t="shared" si="11"/>
        <v>37.723635070514909</v>
      </c>
      <c r="AA38" s="4">
        <f t="shared" si="12"/>
        <v>37.946851846080079</v>
      </c>
      <c r="AB38" s="4">
        <f t="shared" si="13"/>
        <v>23.056659622403032</v>
      </c>
      <c r="AC38" s="4">
        <f t="shared" si="14"/>
        <v>17.772307083094088</v>
      </c>
    </row>
    <row r="39" spans="1:29" ht="15.6" x14ac:dyDescent="0.3">
      <c r="A39" s="10">
        <v>0.6875</v>
      </c>
      <c r="B39" s="6">
        <v>19.044444444444444</v>
      </c>
      <c r="C39" s="6">
        <v>17.822222222222223</v>
      </c>
      <c r="D39" s="6">
        <v>18.568181818181817</v>
      </c>
      <c r="E39" s="6">
        <v>15.75</v>
      </c>
      <c r="F39" s="6">
        <v>14.909090909090908</v>
      </c>
      <c r="G39" s="6">
        <v>9.6097560975609753</v>
      </c>
      <c r="H39" s="6">
        <v>5.6904761904761907</v>
      </c>
      <c r="J39" s="10">
        <v>0.6875</v>
      </c>
      <c r="K39" s="11">
        <f t="shared" si="1"/>
        <v>2.5026380736577009E-2</v>
      </c>
      <c r="L39" s="11">
        <f t="shared" si="2"/>
        <v>2.3098624330345974E-2</v>
      </c>
      <c r="M39" s="11">
        <f t="shared" si="3"/>
        <v>2.405134755341189E-2</v>
      </c>
      <c r="N39" s="11">
        <f t="shared" si="4"/>
        <v>2.2240214489011468E-2</v>
      </c>
      <c r="O39" s="11">
        <f t="shared" si="5"/>
        <v>2.3009291014528904E-2</v>
      </c>
      <c r="P39" s="11">
        <f t="shared" si="6"/>
        <v>1.9982755997362683E-2</v>
      </c>
      <c r="Q39" s="11">
        <f t="shared" si="7"/>
        <v>1.90940321163218E-2</v>
      </c>
      <c r="V39" s="10">
        <v>0.6875</v>
      </c>
      <c r="W39" s="4">
        <f t="shared" si="8"/>
        <v>46.761434294509399</v>
      </c>
      <c r="X39" s="4">
        <f t="shared" si="9"/>
        <v>43.760408756355361</v>
      </c>
      <c r="Y39" s="4">
        <f t="shared" si="10"/>
        <v>45.59202640918739</v>
      </c>
      <c r="Z39" s="4">
        <f t="shared" si="11"/>
        <v>38.672306366666909</v>
      </c>
      <c r="AA39" s="4">
        <f t="shared" si="12"/>
        <v>36.607551192689009</v>
      </c>
      <c r="AB39" s="4">
        <f t="shared" si="13"/>
        <v>23.595646470718947</v>
      </c>
      <c r="AC39" s="4">
        <f t="shared" si="14"/>
        <v>13.972307213353576</v>
      </c>
    </row>
    <row r="40" spans="1:29" ht="15.6" x14ac:dyDescent="0.3">
      <c r="A40" s="10">
        <v>0.69791666666666663</v>
      </c>
      <c r="B40" s="6">
        <v>17.488888888888887</v>
      </c>
      <c r="C40" s="6">
        <v>18.088888888888889</v>
      </c>
      <c r="D40" s="6">
        <v>17.636363636363637</v>
      </c>
      <c r="E40" s="6">
        <v>16.477272727272727</v>
      </c>
      <c r="F40" s="6">
        <v>14.568181818181818</v>
      </c>
      <c r="G40" s="6">
        <v>9.2926829268292686</v>
      </c>
      <c r="H40" s="6">
        <v>5.5714285714285712</v>
      </c>
      <c r="J40" s="10">
        <v>0.69791666666666663</v>
      </c>
      <c r="K40" s="11">
        <f t="shared" si="1"/>
        <v>2.2982218949458698E-2</v>
      </c>
      <c r="L40" s="11">
        <f t="shared" si="2"/>
        <v>2.3444239656984566E-2</v>
      </c>
      <c r="M40" s="11">
        <f t="shared" si="3"/>
        <v>2.2844364383656827E-2</v>
      </c>
      <c r="N40" s="11">
        <f t="shared" si="4"/>
        <v>2.3267179660221231E-2</v>
      </c>
      <c r="O40" s="11">
        <f t="shared" si="5"/>
        <v>2.2483163933404007E-2</v>
      </c>
      <c r="P40" s="11">
        <f t="shared" si="6"/>
        <v>1.9323426484759345E-2</v>
      </c>
      <c r="Q40" s="11">
        <f t="shared" si="7"/>
        <v>1.8694575377486613E-2</v>
      </c>
      <c r="V40" s="10">
        <v>0.69791666666666663</v>
      </c>
      <c r="W40" s="4">
        <f t="shared" si="8"/>
        <v>42.941947245949699</v>
      </c>
      <c r="X40" s="4">
        <f t="shared" si="9"/>
        <v>44.415177964679877</v>
      </c>
      <c r="Y40" s="4">
        <f t="shared" si="10"/>
        <v>43.304054459644327</v>
      </c>
      <c r="Z40" s="4">
        <f t="shared" si="11"/>
        <v>40.45804057118832</v>
      </c>
      <c r="AA40" s="4">
        <f t="shared" si="12"/>
        <v>35.770488284319605</v>
      </c>
      <c r="AB40" s="4">
        <f t="shared" si="13"/>
        <v>22.817109912040401</v>
      </c>
      <c r="AC40" s="4">
        <f t="shared" si="14"/>
        <v>13.679999531065842</v>
      </c>
    </row>
    <row r="41" spans="1:29" ht="15.6" x14ac:dyDescent="0.3">
      <c r="A41" s="10">
        <v>0.70833333333333337</v>
      </c>
      <c r="B41" s="6">
        <v>19.288888888888888</v>
      </c>
      <c r="C41" s="6">
        <v>18.244444444444444</v>
      </c>
      <c r="D41" s="6">
        <v>17.40909090909091</v>
      </c>
      <c r="E41" s="6">
        <v>16.295454545454547</v>
      </c>
      <c r="F41" s="6">
        <v>14.954545454545455</v>
      </c>
      <c r="G41" s="6">
        <v>9.3658536585365848</v>
      </c>
      <c r="H41" s="6">
        <v>6.3809523809523814</v>
      </c>
      <c r="J41" s="10">
        <v>0.70833333333333337</v>
      </c>
      <c r="K41" s="11">
        <f t="shared" si="1"/>
        <v>2.5347606160267027E-2</v>
      </c>
      <c r="L41" s="11">
        <f t="shared" si="2"/>
        <v>2.3645848597523743E-2</v>
      </c>
      <c r="M41" s="11">
        <f t="shared" si="3"/>
        <v>2.2549978244692178E-2</v>
      </c>
      <c r="N41" s="11">
        <f t="shared" si="4"/>
        <v>2.3010438367418794E-2</v>
      </c>
      <c r="O41" s="11">
        <f t="shared" si="5"/>
        <v>2.3079441292012226E-2</v>
      </c>
      <c r="P41" s="11">
        <f t="shared" si="6"/>
        <v>1.9475579449206269E-2</v>
      </c>
      <c r="Q41" s="11">
        <f t="shared" si="7"/>
        <v>2.1410881201565868E-2</v>
      </c>
      <c r="V41" s="10">
        <v>0.70833333333333337</v>
      </c>
      <c r="W41" s="4">
        <f t="shared" si="8"/>
        <v>47.361639402140206</v>
      </c>
      <c r="X41" s="4">
        <f t="shared" si="9"/>
        <v>44.797126669535842</v>
      </c>
      <c r="Y41" s="4">
        <f t="shared" si="10"/>
        <v>42.746012520731384</v>
      </c>
      <c r="Z41" s="4">
        <f t="shared" si="11"/>
        <v>40.011607020057973</v>
      </c>
      <c r="AA41" s="4">
        <f t="shared" si="12"/>
        <v>36.719159580471604</v>
      </c>
      <c r="AB41" s="4">
        <f t="shared" si="13"/>
        <v>22.996772194812376</v>
      </c>
      <c r="AC41" s="4">
        <f t="shared" si="14"/>
        <v>15.667691770622421</v>
      </c>
    </row>
    <row r="42" spans="1:29" ht="15.6" x14ac:dyDescent="0.3">
      <c r="A42" s="10">
        <v>0.71875</v>
      </c>
      <c r="B42" s="6">
        <v>21.288888888888888</v>
      </c>
      <c r="C42" s="6">
        <v>17.333333333333332</v>
      </c>
      <c r="D42" s="6">
        <v>18.113636363636363</v>
      </c>
      <c r="E42" s="6">
        <v>17.454545454545453</v>
      </c>
      <c r="F42" s="6">
        <v>14.977272727272727</v>
      </c>
      <c r="G42" s="6">
        <v>7.8536585365853657</v>
      </c>
      <c r="H42" s="6">
        <v>5.7142857142857144</v>
      </c>
      <c r="J42" s="10">
        <v>0.71875</v>
      </c>
      <c r="K42" s="11">
        <f t="shared" si="1"/>
        <v>2.7975814172276282E-2</v>
      </c>
      <c r="L42" s="11">
        <f t="shared" si="2"/>
        <v>2.2464996231508549E-2</v>
      </c>
      <c r="M42" s="11">
        <f t="shared" si="3"/>
        <v>2.3462575275482591E-2</v>
      </c>
      <c r="N42" s="11">
        <f t="shared" si="4"/>
        <v>2.4647164109034354E-2</v>
      </c>
      <c r="O42" s="11">
        <f t="shared" si="5"/>
        <v>2.3114516430753886E-2</v>
      </c>
      <c r="P42" s="11">
        <f t="shared" si="6"/>
        <v>1.6331084850636508E-2</v>
      </c>
      <c r="Q42" s="11">
        <f t="shared" si="7"/>
        <v>1.9173923464088836E-2</v>
      </c>
      <c r="V42" s="10">
        <v>0.71875</v>
      </c>
      <c r="W42" s="4">
        <f t="shared" si="8"/>
        <v>52.272408464574099</v>
      </c>
      <c r="X42" s="4">
        <f t="shared" si="9"/>
        <v>42.559998541093734</v>
      </c>
      <c r="Y42" s="4">
        <f t="shared" si="10"/>
        <v>44.475942531361504</v>
      </c>
      <c r="Z42" s="4">
        <f t="shared" si="11"/>
        <v>42.857620908513972</v>
      </c>
      <c r="AA42" s="4">
        <f t="shared" si="12"/>
        <v>36.774963774362895</v>
      </c>
      <c r="AB42" s="4">
        <f t="shared" si="13"/>
        <v>19.283751684191628</v>
      </c>
      <c r="AC42" s="4">
        <f t="shared" si="14"/>
        <v>14.030768749811122</v>
      </c>
    </row>
    <row r="43" spans="1:29" ht="15.6" x14ac:dyDescent="0.3">
      <c r="A43" s="10">
        <v>0.72916666666666663</v>
      </c>
      <c r="B43" s="6">
        <v>18.088888888888889</v>
      </c>
      <c r="C43" s="6">
        <v>16.733333333333334</v>
      </c>
      <c r="D43" s="6">
        <v>17.613636363636363</v>
      </c>
      <c r="E43" s="6">
        <v>17.272727272727273</v>
      </c>
      <c r="F43" s="6">
        <v>15</v>
      </c>
      <c r="G43" s="6">
        <v>8.3414634146341466</v>
      </c>
      <c r="H43" s="6">
        <v>5.2619047619047619</v>
      </c>
      <c r="J43" s="10">
        <v>0.72916666666666663</v>
      </c>
      <c r="K43" s="11">
        <f t="shared" si="1"/>
        <v>2.3770681353061478E-2</v>
      </c>
      <c r="L43" s="11">
        <f t="shared" si="2"/>
        <v>2.168736174657172E-2</v>
      </c>
      <c r="M43" s="11">
        <f t="shared" si="3"/>
        <v>2.2814925769760363E-2</v>
      </c>
      <c r="N43" s="11">
        <f t="shared" si="4"/>
        <v>2.4390422816231914E-2</v>
      </c>
      <c r="O43" s="11">
        <f t="shared" si="5"/>
        <v>2.3149591569495545E-2</v>
      </c>
      <c r="P43" s="11">
        <f t="shared" si="6"/>
        <v>1.7345437946949333E-2</v>
      </c>
      <c r="Q43" s="11">
        <f t="shared" si="7"/>
        <v>1.7655987856515135E-2</v>
      </c>
      <c r="V43" s="10">
        <v>0.72916666666666663</v>
      </c>
      <c r="W43" s="4">
        <f t="shared" si="8"/>
        <v>44.415177964679877</v>
      </c>
      <c r="X43" s="4">
        <f t="shared" si="9"/>
        <v>41.086767822363576</v>
      </c>
      <c r="Y43" s="4">
        <f t="shared" si="10"/>
        <v>43.248250265753036</v>
      </c>
      <c r="Z43" s="4">
        <f t="shared" si="11"/>
        <v>42.411187357383625</v>
      </c>
      <c r="AA43" s="4">
        <f t="shared" si="12"/>
        <v>36.830767968254193</v>
      </c>
      <c r="AB43" s="4">
        <f t="shared" si="13"/>
        <v>20.48150023600477</v>
      </c>
      <c r="AC43" s="4">
        <f t="shared" si="14"/>
        <v>12.919999557117739</v>
      </c>
    </row>
    <row r="44" spans="1:29" ht="15.6" x14ac:dyDescent="0.3">
      <c r="A44" s="10">
        <v>0.73958333333333337</v>
      </c>
      <c r="B44" s="6">
        <v>17.8</v>
      </c>
      <c r="C44" s="6">
        <v>18.777777777777779</v>
      </c>
      <c r="D44" s="6">
        <v>17.977272727272727</v>
      </c>
      <c r="E44" s="6">
        <v>16.90909090909091</v>
      </c>
      <c r="F44" s="6">
        <v>13.159090909090908</v>
      </c>
      <c r="G44" s="6">
        <v>7.1707317073170733</v>
      </c>
      <c r="H44" s="6">
        <v>5.2142857142857144</v>
      </c>
      <c r="J44" s="10">
        <v>0.73958333333333337</v>
      </c>
      <c r="K44" s="11">
        <f t="shared" si="1"/>
        <v>2.3391051306882363E-2</v>
      </c>
      <c r="L44" s="11">
        <f t="shared" si="2"/>
        <v>2.4337079250800933E-2</v>
      </c>
      <c r="M44" s="11">
        <f t="shared" si="3"/>
        <v>2.32859435921038E-2</v>
      </c>
      <c r="N44" s="11">
        <f t="shared" si="4"/>
        <v>2.3876940230627031E-2</v>
      </c>
      <c r="O44" s="11">
        <f t="shared" si="5"/>
        <v>2.0308505331421089E-2</v>
      </c>
      <c r="P44" s="11">
        <f t="shared" si="6"/>
        <v>1.491099051579855E-2</v>
      </c>
      <c r="Q44" s="11">
        <f t="shared" si="7"/>
        <v>1.7496205160981063E-2</v>
      </c>
      <c r="V44" s="10">
        <v>0.73958333333333337</v>
      </c>
      <c r="W44" s="4">
        <f t="shared" si="8"/>
        <v>43.705844655661643</v>
      </c>
      <c r="X44" s="4">
        <f t="shared" si="9"/>
        <v>46.10666508618489</v>
      </c>
      <c r="Y44" s="4">
        <f t="shared" si="10"/>
        <v>44.141117368013738</v>
      </c>
      <c r="Z44" s="4">
        <f t="shared" si="11"/>
        <v>41.518320255122916</v>
      </c>
      <c r="AA44" s="4">
        <f t="shared" si="12"/>
        <v>32.310628263059357</v>
      </c>
      <c r="AB44" s="4">
        <f t="shared" si="13"/>
        <v>17.606903711653224</v>
      </c>
      <c r="AC44" s="4">
        <f t="shared" si="14"/>
        <v>12.803076484202649</v>
      </c>
    </row>
    <row r="45" spans="1:29" ht="15.6" x14ac:dyDescent="0.3">
      <c r="A45" s="10">
        <v>0.75</v>
      </c>
      <c r="B45" s="6">
        <v>17.644444444444446</v>
      </c>
      <c r="C45" s="6">
        <v>17.022222222222222</v>
      </c>
      <c r="D45" s="6">
        <v>18.318181818181817</v>
      </c>
      <c r="E45" s="6">
        <v>15.977272727272727</v>
      </c>
      <c r="F45" s="6">
        <v>14.409090909090908</v>
      </c>
      <c r="G45" s="6">
        <v>7.9268292682926829</v>
      </c>
      <c r="H45" s="6">
        <v>5.2857142857142856</v>
      </c>
      <c r="J45" s="10">
        <v>0.75</v>
      </c>
      <c r="K45" s="11">
        <f t="shared" si="1"/>
        <v>2.3186635128170534E-2</v>
      </c>
      <c r="L45" s="11">
        <f t="shared" si="2"/>
        <v>2.2061778350430192E-2</v>
      </c>
      <c r="M45" s="11">
        <f t="shared" si="3"/>
        <v>2.3727522800550776E-2</v>
      </c>
      <c r="N45" s="11">
        <f t="shared" si="4"/>
        <v>2.2561141105014518E-2</v>
      </c>
      <c r="O45" s="11">
        <f t="shared" si="5"/>
        <v>2.2237637962212387E-2</v>
      </c>
      <c r="P45" s="11">
        <f t="shared" si="6"/>
        <v>1.6483237815083433E-2</v>
      </c>
      <c r="Q45" s="11">
        <f t="shared" si="7"/>
        <v>1.7735879204282174E-2</v>
      </c>
      <c r="V45" s="10">
        <v>0.75</v>
      </c>
      <c r="W45" s="4">
        <f t="shared" si="8"/>
        <v>43.323895950805678</v>
      </c>
      <c r="X45" s="4">
        <f t="shared" si="9"/>
        <v>41.796101131381796</v>
      </c>
      <c r="Y45" s="4">
        <f t="shared" si="10"/>
        <v>44.978180276383156</v>
      </c>
      <c r="Z45" s="4">
        <f t="shared" si="11"/>
        <v>39.230348305579845</v>
      </c>
      <c r="AA45" s="4">
        <f t="shared" si="12"/>
        <v>35.379858927080541</v>
      </c>
      <c r="AB45" s="4">
        <f t="shared" si="13"/>
        <v>19.4634139669636</v>
      </c>
      <c r="AC45" s="4">
        <f t="shared" si="14"/>
        <v>12.978461093575289</v>
      </c>
    </row>
    <row r="46" spans="1:29" ht="15.6" x14ac:dyDescent="0.3">
      <c r="A46" s="10">
        <v>0.76041666666666663</v>
      </c>
      <c r="B46" s="6">
        <v>17.488888888888887</v>
      </c>
      <c r="C46" s="6">
        <v>16.8</v>
      </c>
      <c r="D46" s="6">
        <v>16.681818181818183</v>
      </c>
      <c r="E46" s="6">
        <v>16.15909090909091</v>
      </c>
      <c r="F46" s="6">
        <v>12.772727272727273</v>
      </c>
      <c r="G46" s="6">
        <v>7.9268292682926829</v>
      </c>
      <c r="H46" s="6">
        <v>5.0238095238095237</v>
      </c>
      <c r="J46" s="10">
        <v>0.76041666666666663</v>
      </c>
      <c r="K46" s="11">
        <f t="shared" si="1"/>
        <v>2.2982218949458698E-2</v>
      </c>
      <c r="L46" s="11">
        <f t="shared" si="2"/>
        <v>2.1773765578231366E-2</v>
      </c>
      <c r="M46" s="11">
        <f t="shared" si="3"/>
        <v>2.16079426000053E-2</v>
      </c>
      <c r="N46" s="11">
        <f t="shared" si="4"/>
        <v>2.2817882397816961E-2</v>
      </c>
      <c r="O46" s="11">
        <f t="shared" si="5"/>
        <v>1.9712227972812874E-2</v>
      </c>
      <c r="P46" s="11">
        <f t="shared" si="6"/>
        <v>1.6483237815083433E-2</v>
      </c>
      <c r="Q46" s="11">
        <f t="shared" si="7"/>
        <v>1.6857074378844768E-2</v>
      </c>
      <c r="V46" s="10">
        <v>0.76041666666666663</v>
      </c>
      <c r="W46" s="4">
        <f t="shared" si="8"/>
        <v>42.941947245949699</v>
      </c>
      <c r="X46" s="4">
        <f t="shared" si="9"/>
        <v>41.2504601244447</v>
      </c>
      <c r="Y46" s="4">
        <f t="shared" si="10"/>
        <v>40.960278316209973</v>
      </c>
      <c r="Z46" s="4">
        <f t="shared" si="11"/>
        <v>39.676781856710207</v>
      </c>
      <c r="AA46" s="4">
        <f t="shared" si="12"/>
        <v>31.361956966907357</v>
      </c>
      <c r="AB46" s="4">
        <f t="shared" si="13"/>
        <v>19.4634139669636</v>
      </c>
      <c r="AC46" s="4">
        <f t="shared" si="14"/>
        <v>12.335384192542277</v>
      </c>
    </row>
    <row r="47" spans="1:29" ht="15.6" x14ac:dyDescent="0.3">
      <c r="A47" s="10">
        <v>0.77083333333333337</v>
      </c>
      <c r="B47" s="6">
        <v>15.977777777777778</v>
      </c>
      <c r="C47" s="6">
        <v>16.111111111111111</v>
      </c>
      <c r="D47" s="6">
        <v>16.295454545454547</v>
      </c>
      <c r="E47" s="6">
        <v>15.590909090909092</v>
      </c>
      <c r="F47" s="6">
        <v>11.431818181818182</v>
      </c>
      <c r="G47" s="6">
        <v>6.6585365853658534</v>
      </c>
      <c r="H47" s="6">
        <v>4.9285714285714288</v>
      </c>
      <c r="J47" s="10">
        <v>0.77083333333333337</v>
      </c>
      <c r="K47" s="11">
        <f t="shared" si="1"/>
        <v>2.0996461784829487E-2</v>
      </c>
      <c r="L47" s="11">
        <f t="shared" si="2"/>
        <v>2.0880925984414999E-2</v>
      </c>
      <c r="M47" s="11">
        <f t="shared" si="3"/>
        <v>2.1107486163765395E-2</v>
      </c>
      <c r="N47" s="11">
        <f t="shared" si="4"/>
        <v>2.2015565857809335E-2</v>
      </c>
      <c r="O47" s="11">
        <f t="shared" si="5"/>
        <v>1.7642794787054938E-2</v>
      </c>
      <c r="P47" s="11">
        <f t="shared" si="6"/>
        <v>1.3845919764670082E-2</v>
      </c>
      <c r="Q47" s="11">
        <f t="shared" si="7"/>
        <v>1.653750898777662E-2</v>
      </c>
      <c r="V47" s="10">
        <v>0.77083333333333337</v>
      </c>
      <c r="W47" s="4">
        <f t="shared" si="8"/>
        <v>39.231588398777433</v>
      </c>
      <c r="X47" s="4">
        <f t="shared" si="9"/>
        <v>39.558973002939695</v>
      </c>
      <c r="Y47" s="4">
        <f t="shared" si="10"/>
        <v>40.011607020057973</v>
      </c>
      <c r="Z47" s="4">
        <f t="shared" si="11"/>
        <v>38.281677009427852</v>
      </c>
      <c r="AA47" s="4">
        <f t="shared" si="12"/>
        <v>28.069509527320999</v>
      </c>
      <c r="AB47" s="4">
        <f t="shared" si="13"/>
        <v>16.349267732249423</v>
      </c>
      <c r="AC47" s="4">
        <f t="shared" si="14"/>
        <v>12.101538046712092</v>
      </c>
    </row>
    <row r="48" spans="1:29" ht="15.6" x14ac:dyDescent="0.3">
      <c r="A48" s="10">
        <v>0.78125</v>
      </c>
      <c r="B48" s="6">
        <v>14.777777777777779</v>
      </c>
      <c r="C48" s="6">
        <v>16.155555555555555</v>
      </c>
      <c r="D48" s="6">
        <v>15.340909090909092</v>
      </c>
      <c r="E48" s="6">
        <v>15.704545454545455</v>
      </c>
      <c r="F48" s="6">
        <v>12.068181818181818</v>
      </c>
      <c r="G48" s="6">
        <v>5.7560975609756095</v>
      </c>
      <c r="H48" s="6">
        <v>3.8809523809523809</v>
      </c>
      <c r="J48" s="10">
        <v>0.78125</v>
      </c>
      <c r="K48" s="11">
        <f t="shared" si="1"/>
        <v>1.9419536977623934E-2</v>
      </c>
      <c r="L48" s="11">
        <f t="shared" si="2"/>
        <v>2.0938528538854764E-2</v>
      </c>
      <c r="M48" s="11">
        <f t="shared" si="3"/>
        <v>1.9871064380113865E-2</v>
      </c>
      <c r="N48" s="11">
        <f t="shared" si="4"/>
        <v>2.2176029165810858E-2</v>
      </c>
      <c r="O48" s="11">
        <f t="shared" si="5"/>
        <v>1.8624898671821415E-2</v>
      </c>
      <c r="P48" s="11">
        <f t="shared" si="6"/>
        <v>1.1969366536491353E-2</v>
      </c>
      <c r="Q48" s="11">
        <f t="shared" si="7"/>
        <v>1.3022289686027E-2</v>
      </c>
      <c r="V48" s="10">
        <v>0.78125</v>
      </c>
      <c r="W48" s="4">
        <f t="shared" si="8"/>
        <v>36.285126961317097</v>
      </c>
      <c r="X48" s="4">
        <f t="shared" si="9"/>
        <v>39.668101204327108</v>
      </c>
      <c r="Y48" s="4">
        <f t="shared" si="10"/>
        <v>37.667830876623611</v>
      </c>
      <c r="Z48" s="4">
        <f t="shared" si="11"/>
        <v>38.56069797888432</v>
      </c>
      <c r="AA48" s="4">
        <f t="shared" si="12"/>
        <v>29.632026956277237</v>
      </c>
      <c r="AB48" s="4">
        <f t="shared" si="13"/>
        <v>14.133432911395106</v>
      </c>
      <c r="AC48" s="4">
        <f t="shared" si="14"/>
        <v>9.5292304425800527</v>
      </c>
    </row>
    <row r="49" spans="1:29" ht="15.6" x14ac:dyDescent="0.3">
      <c r="A49" s="10">
        <v>0.79166666666666663</v>
      </c>
      <c r="B49" s="6">
        <v>13.911111111111111</v>
      </c>
      <c r="C49" s="6">
        <v>13.955555555555556</v>
      </c>
      <c r="D49" s="6">
        <v>14.613636363636363</v>
      </c>
      <c r="E49" s="6">
        <v>12.613636363636363</v>
      </c>
      <c r="F49" s="6">
        <v>10.431818181818182</v>
      </c>
      <c r="G49" s="6">
        <v>6.024390243902439</v>
      </c>
      <c r="H49" s="6">
        <v>4.3571428571428568</v>
      </c>
      <c r="J49" s="10">
        <v>0.79166666666666663</v>
      </c>
      <c r="K49" s="11">
        <f t="shared" si="1"/>
        <v>1.8280646839086593E-2</v>
      </c>
      <c r="L49" s="11">
        <f t="shared" si="2"/>
        <v>1.8087202094086374E-2</v>
      </c>
      <c r="M49" s="11">
        <f t="shared" si="3"/>
        <v>1.8929028735426984E-2</v>
      </c>
      <c r="N49" s="11">
        <f t="shared" si="4"/>
        <v>1.7811427188169356E-2</v>
      </c>
      <c r="O49" s="11">
        <f t="shared" si="5"/>
        <v>1.6099488682421902E-2</v>
      </c>
      <c r="P49" s="11">
        <f t="shared" si="6"/>
        <v>1.2527260739463407E-2</v>
      </c>
      <c r="Q49" s="11">
        <f t="shared" si="7"/>
        <v>1.4620116641367736E-2</v>
      </c>
      <c r="V49" s="10">
        <v>0.79166666666666663</v>
      </c>
      <c r="W49" s="4">
        <f t="shared" si="8"/>
        <v>34.157127034262416</v>
      </c>
      <c r="X49" s="4">
        <f t="shared" si="9"/>
        <v>34.266255235649837</v>
      </c>
      <c r="Y49" s="4">
        <f t="shared" si="10"/>
        <v>35.882096672102193</v>
      </c>
      <c r="Z49" s="4">
        <f t="shared" si="11"/>
        <v>30.9713276096683</v>
      </c>
      <c r="AA49" s="4">
        <f t="shared" si="12"/>
        <v>25.614124996104053</v>
      </c>
      <c r="AB49" s="4">
        <f t="shared" si="13"/>
        <v>14.792194614892335</v>
      </c>
      <c r="AC49" s="4">
        <f t="shared" si="14"/>
        <v>10.69846117173098</v>
      </c>
    </row>
    <row r="50" spans="1:29" ht="15.6" x14ac:dyDescent="0.3">
      <c r="A50" s="10">
        <v>0.80208333333333337</v>
      </c>
      <c r="B50" s="6">
        <v>12.688888888888888</v>
      </c>
      <c r="C50" s="6">
        <v>12.755555555555556</v>
      </c>
      <c r="D50" s="6">
        <v>13.795454545454545</v>
      </c>
      <c r="E50" s="6">
        <v>13.477272727272727</v>
      </c>
      <c r="F50" s="6">
        <v>10.318181818181818</v>
      </c>
      <c r="G50" s="6">
        <v>4.9024390243902438</v>
      </c>
      <c r="H50" s="6">
        <v>4.3809523809523814</v>
      </c>
      <c r="J50" s="10">
        <v>0.80208333333333337</v>
      </c>
      <c r="K50" s="11">
        <f t="shared" si="1"/>
        <v>1.667451972063649E-2</v>
      </c>
      <c r="L50" s="11">
        <f t="shared" si="2"/>
        <v>1.6531933124212705E-2</v>
      </c>
      <c r="M50" s="11">
        <f t="shared" si="3"/>
        <v>1.7869238635154244E-2</v>
      </c>
      <c r="N50" s="11">
        <f t="shared" si="4"/>
        <v>1.9030948328980953E-2</v>
      </c>
      <c r="O50" s="11">
        <f t="shared" si="5"/>
        <v>1.5924112988713601E-2</v>
      </c>
      <c r="P50" s="11">
        <f t="shared" si="6"/>
        <v>1.0194248617943907E-2</v>
      </c>
      <c r="Q50" s="11">
        <f t="shared" si="7"/>
        <v>1.4700007989134775E-2</v>
      </c>
      <c r="V50" s="10">
        <v>0.80208333333333337</v>
      </c>
      <c r="W50" s="4">
        <f t="shared" si="8"/>
        <v>31.156101496108363</v>
      </c>
      <c r="X50" s="4">
        <f t="shared" si="9"/>
        <v>31.319793798189497</v>
      </c>
      <c r="Y50" s="4">
        <f t="shared" si="10"/>
        <v>33.873145692015598</v>
      </c>
      <c r="Z50" s="4">
        <f t="shared" si="11"/>
        <v>33.091886977537484</v>
      </c>
      <c r="AA50" s="4">
        <f t="shared" si="12"/>
        <v>25.335104026647578</v>
      </c>
      <c r="AB50" s="4">
        <f t="shared" si="13"/>
        <v>12.037372945722103</v>
      </c>
      <c r="AC50" s="4">
        <f t="shared" si="14"/>
        <v>10.756922708188528</v>
      </c>
    </row>
    <row r="51" spans="1:29" ht="15.6" x14ac:dyDescent="0.3">
      <c r="A51" s="10">
        <v>0.8125</v>
      </c>
      <c r="B51" s="6">
        <v>11.866666666666667</v>
      </c>
      <c r="C51" s="6">
        <v>13.155555555555555</v>
      </c>
      <c r="D51" s="6">
        <v>12.613636363636363</v>
      </c>
      <c r="E51" s="6">
        <v>11.590909090909092</v>
      </c>
      <c r="F51" s="6">
        <v>8.4318181818181817</v>
      </c>
      <c r="G51" s="6">
        <v>4.6341463414634143</v>
      </c>
      <c r="H51" s="6">
        <v>3.2142857142857144</v>
      </c>
      <c r="J51" s="10">
        <v>0.8125</v>
      </c>
      <c r="K51" s="11">
        <f t="shared" si="1"/>
        <v>1.5594034204588242E-2</v>
      </c>
      <c r="L51" s="11">
        <f t="shared" si="2"/>
        <v>1.7050356114170592E-2</v>
      </c>
      <c r="M51" s="11">
        <f t="shared" si="3"/>
        <v>1.6338430712538064E-2</v>
      </c>
      <c r="N51" s="11">
        <f t="shared" si="4"/>
        <v>1.6367257416155627E-2</v>
      </c>
      <c r="O51" s="11">
        <f t="shared" si="5"/>
        <v>1.3012876473155828E-2</v>
      </c>
      <c r="P51" s="11">
        <f t="shared" si="6"/>
        <v>9.6363544149718518E-3</v>
      </c>
      <c r="Q51" s="11">
        <f t="shared" si="7"/>
        <v>1.078533194854997E-2</v>
      </c>
      <c r="V51" s="10">
        <v>0.8125</v>
      </c>
      <c r="W51" s="4">
        <f t="shared" si="8"/>
        <v>29.137229770441095</v>
      </c>
      <c r="X51" s="4">
        <f t="shared" si="9"/>
        <v>32.301947610676272</v>
      </c>
      <c r="Y51" s="4">
        <f t="shared" si="10"/>
        <v>30.971327609668297</v>
      </c>
      <c r="Z51" s="4">
        <f t="shared" si="11"/>
        <v>28.460138884560063</v>
      </c>
      <c r="AA51" s="4">
        <f t="shared" si="12"/>
        <v>20.703355933670156</v>
      </c>
      <c r="AB51" s="4">
        <f t="shared" si="13"/>
        <v>11.378611242224872</v>
      </c>
      <c r="AC51" s="4">
        <f t="shared" si="14"/>
        <v>7.8923074217687557</v>
      </c>
    </row>
    <row r="52" spans="1:29" ht="15.6" x14ac:dyDescent="0.3">
      <c r="A52" s="10">
        <v>0.82291666666666663</v>
      </c>
      <c r="B52" s="6">
        <v>11.622222222222222</v>
      </c>
      <c r="C52" s="6">
        <v>11.733333333333333</v>
      </c>
      <c r="D52" s="6">
        <v>10.545454545454545</v>
      </c>
      <c r="E52" s="6">
        <v>9.795454545454545</v>
      </c>
      <c r="F52" s="6">
        <v>7.6818181818181817</v>
      </c>
      <c r="G52" s="6">
        <v>4.6585365853658534</v>
      </c>
      <c r="H52" s="6">
        <v>3</v>
      </c>
      <c r="J52" s="10">
        <v>0.82291666666666663</v>
      </c>
      <c r="K52" s="11">
        <f t="shared" si="1"/>
        <v>1.5272808780898222E-2</v>
      </c>
      <c r="L52" s="11">
        <f t="shared" si="2"/>
        <v>1.5207074372098096E-2</v>
      </c>
      <c r="M52" s="11">
        <f t="shared" si="3"/>
        <v>1.3659516847959753E-2</v>
      </c>
      <c r="N52" s="11">
        <f t="shared" si="4"/>
        <v>1.3831937149731518E-2</v>
      </c>
      <c r="O52" s="11">
        <f t="shared" si="5"/>
        <v>1.1855396894681052E-2</v>
      </c>
      <c r="P52" s="11">
        <f t="shared" si="6"/>
        <v>9.6870720697874932E-3</v>
      </c>
      <c r="Q52" s="11">
        <f t="shared" si="7"/>
        <v>1.0066309818646639E-2</v>
      </c>
      <c r="V52" s="10">
        <v>0.82291666666666663</v>
      </c>
      <c r="W52" s="4">
        <f t="shared" si="8"/>
        <v>28.537024662810289</v>
      </c>
      <c r="X52" s="4">
        <f t="shared" si="9"/>
        <v>28.809845166278837</v>
      </c>
      <c r="Y52" s="4">
        <f t="shared" si="10"/>
        <v>25.893145965560528</v>
      </c>
      <c r="Z52" s="4">
        <f t="shared" si="11"/>
        <v>24.051607567147816</v>
      </c>
      <c r="AA52" s="4">
        <f t="shared" si="12"/>
        <v>18.861817535257451</v>
      </c>
      <c r="AB52" s="4">
        <f t="shared" si="13"/>
        <v>11.43849866981553</v>
      </c>
      <c r="AC52" s="4">
        <f t="shared" si="14"/>
        <v>7.3661535936508393</v>
      </c>
    </row>
    <row r="53" spans="1:29" ht="15.6" x14ac:dyDescent="0.3">
      <c r="A53" s="10">
        <v>0.83333333333333337</v>
      </c>
      <c r="B53" s="6">
        <v>8</v>
      </c>
      <c r="C53" s="6">
        <v>9.8888888888888893</v>
      </c>
      <c r="D53" s="6">
        <v>9.9772727272727266</v>
      </c>
      <c r="E53" s="6">
        <v>9.1363636363636367</v>
      </c>
      <c r="F53" s="6">
        <v>6.6136363636363633</v>
      </c>
      <c r="G53" s="6">
        <v>3.9024390243902438</v>
      </c>
      <c r="H53" s="6">
        <v>2.8333333333333335</v>
      </c>
      <c r="J53" s="10">
        <v>0.83333333333333337</v>
      </c>
      <c r="K53" s="11">
        <f t="shared" si="1"/>
        <v>1.0512832048037017E-2</v>
      </c>
      <c r="L53" s="11">
        <f t="shared" si="2"/>
        <v>1.2816568362847829E-2</v>
      </c>
      <c r="M53" s="11">
        <f t="shared" si="3"/>
        <v>1.2923551500548127E-2</v>
      </c>
      <c r="N53" s="11">
        <f t="shared" si="4"/>
        <v>1.290124996332267E-2</v>
      </c>
      <c r="O53" s="11">
        <f t="shared" si="5"/>
        <v>1.0206865373823036E-2</v>
      </c>
      <c r="P53" s="11">
        <f t="shared" si="6"/>
        <v>8.1148247705026127E-3</v>
      </c>
      <c r="Q53" s="11">
        <f t="shared" si="7"/>
        <v>9.5070703842773819E-3</v>
      </c>
      <c r="V53" s="10">
        <v>0.83333333333333337</v>
      </c>
      <c r="W53" s="4">
        <f t="shared" si="8"/>
        <v>19.643076249735572</v>
      </c>
      <c r="X53" s="4">
        <f t="shared" si="9"/>
        <v>24.281024808700916</v>
      </c>
      <c r="Y53" s="4">
        <f t="shared" si="10"/>
        <v>24.49804111827817</v>
      </c>
      <c r="Z53" s="4">
        <f t="shared" si="11"/>
        <v>22.433285944300284</v>
      </c>
      <c r="AA53" s="4">
        <f t="shared" si="12"/>
        <v>16.239020422366622</v>
      </c>
      <c r="AB53" s="4">
        <f t="shared" si="13"/>
        <v>9.5819884145051564</v>
      </c>
      <c r="AC53" s="4">
        <f t="shared" si="14"/>
        <v>6.9569228384480155</v>
      </c>
    </row>
    <row r="54" spans="1:29" ht="15.6" x14ac:dyDescent="0.3">
      <c r="A54" s="10">
        <v>0.84375</v>
      </c>
      <c r="B54" s="6">
        <v>8.6888888888888882</v>
      </c>
      <c r="C54" s="6">
        <v>10.311111111111112</v>
      </c>
      <c r="D54" s="6">
        <v>8.75</v>
      </c>
      <c r="E54" s="6">
        <v>8.1363636363636367</v>
      </c>
      <c r="F54" s="6">
        <v>5.9545454545454541</v>
      </c>
      <c r="G54" s="6">
        <v>3.6097560975609757</v>
      </c>
      <c r="H54" s="6">
        <v>2.6428571428571428</v>
      </c>
      <c r="J54" s="10">
        <v>0.84375</v>
      </c>
      <c r="K54" s="11">
        <f t="shared" si="1"/>
        <v>1.1418103696617981E-2</v>
      </c>
      <c r="L54" s="11">
        <f t="shared" si="2"/>
        <v>1.33637926300256E-2</v>
      </c>
      <c r="M54" s="11">
        <f t="shared" si="3"/>
        <v>1.1333866350139018E-2</v>
      </c>
      <c r="N54" s="11">
        <f t="shared" si="4"/>
        <v>1.1489172852909244E-2</v>
      </c>
      <c r="O54" s="11">
        <f t="shared" si="5"/>
        <v>9.1896863503148976E-3</v>
      </c>
      <c r="P54" s="11">
        <f t="shared" si="6"/>
        <v>7.5062129127149166E-3</v>
      </c>
      <c r="Q54" s="11">
        <f t="shared" si="7"/>
        <v>8.867939602141087E-3</v>
      </c>
      <c r="V54" s="10">
        <v>0.84375</v>
      </c>
      <c r="W54" s="4">
        <f t="shared" si="8"/>
        <v>21.334563371240577</v>
      </c>
      <c r="X54" s="4">
        <f t="shared" si="9"/>
        <v>25.317742721881405</v>
      </c>
      <c r="Y54" s="4">
        <f t="shared" si="10"/>
        <v>21.48461464814828</v>
      </c>
      <c r="Z54" s="4">
        <f t="shared" si="11"/>
        <v>19.977901413083337</v>
      </c>
      <c r="AA54" s="4">
        <f t="shared" si="12"/>
        <v>14.620698799519086</v>
      </c>
      <c r="AB54" s="4">
        <f t="shared" si="13"/>
        <v>8.86333928341727</v>
      </c>
      <c r="AC54" s="4">
        <f t="shared" si="14"/>
        <v>6.4892305467876445</v>
      </c>
    </row>
    <row r="55" spans="1:29" ht="15.6" x14ac:dyDescent="0.3">
      <c r="A55" s="10">
        <v>0.85416666666666663</v>
      </c>
      <c r="B55" s="6">
        <v>6.5333333333333332</v>
      </c>
      <c r="C55" s="6">
        <v>7.8444444444444441</v>
      </c>
      <c r="D55" s="6">
        <v>8</v>
      </c>
      <c r="E55" s="6">
        <v>7.25</v>
      </c>
      <c r="F55" s="6">
        <v>5.4090909090909092</v>
      </c>
      <c r="G55" s="6">
        <v>3.0487804878048781</v>
      </c>
      <c r="H55" s="6">
        <v>2.4285714285714284</v>
      </c>
      <c r="J55" s="10">
        <v>0.85416666666666663</v>
      </c>
      <c r="K55" s="11">
        <f t="shared" si="1"/>
        <v>8.5854795058968973E-3</v>
      </c>
      <c r="L55" s="11">
        <f t="shared" si="2"/>
        <v>1.0166850858618614E-2</v>
      </c>
      <c r="M55" s="11">
        <f t="shared" si="3"/>
        <v>1.0362392091555674E-2</v>
      </c>
      <c r="N55" s="11">
        <f t="shared" si="4"/>
        <v>1.0237559050497343E-2</v>
      </c>
      <c r="O55" s="11">
        <f t="shared" si="5"/>
        <v>8.3478830205150605E-3</v>
      </c>
      <c r="P55" s="11">
        <f t="shared" si="6"/>
        <v>6.3397068519551658E-3</v>
      </c>
      <c r="Q55" s="11">
        <f t="shared" si="7"/>
        <v>8.1489174722377544E-3</v>
      </c>
      <c r="V55" s="10">
        <v>0.85416666666666663</v>
      </c>
      <c r="W55" s="4">
        <f t="shared" si="8"/>
        <v>16.041845603950716</v>
      </c>
      <c r="X55" s="4">
        <f t="shared" si="9"/>
        <v>19.261127544879603</v>
      </c>
      <c r="Y55" s="4">
        <f t="shared" si="10"/>
        <v>19.643076249735572</v>
      </c>
      <c r="Z55" s="4">
        <f t="shared" si="11"/>
        <v>17.801537851322863</v>
      </c>
      <c r="AA55" s="4">
        <f t="shared" si="12"/>
        <v>13.281398146128026</v>
      </c>
      <c r="AB55" s="4">
        <f t="shared" si="13"/>
        <v>7.4859284488321531</v>
      </c>
      <c r="AC55" s="4">
        <f t="shared" si="14"/>
        <v>5.9630767186697264</v>
      </c>
    </row>
    <row r="56" spans="1:29" ht="15.6" x14ac:dyDescent="0.3">
      <c r="A56" s="10">
        <v>0.86458333333333337</v>
      </c>
      <c r="B56" s="6">
        <v>5.5333333333333332</v>
      </c>
      <c r="C56" s="6">
        <v>6.2</v>
      </c>
      <c r="D56" s="6">
        <v>6.3636363636363633</v>
      </c>
      <c r="E56" s="6">
        <v>5.8409090909090908</v>
      </c>
      <c r="F56" s="6">
        <v>4.6136363636363633</v>
      </c>
      <c r="G56" s="6">
        <v>2.2682926829268291</v>
      </c>
      <c r="H56" s="6">
        <v>1.5714285714285714</v>
      </c>
      <c r="J56" s="10">
        <v>0.86458333333333337</v>
      </c>
      <c r="K56" s="11">
        <f t="shared" si="1"/>
        <v>7.27137549989227E-3</v>
      </c>
      <c r="L56" s="11">
        <f t="shared" si="2"/>
        <v>8.0355563443472895E-3</v>
      </c>
      <c r="M56" s="11">
        <f t="shared" si="3"/>
        <v>8.2428118910101954E-3</v>
      </c>
      <c r="N56" s="11">
        <f t="shared" si="4"/>
        <v>8.2478140312784234E-3</v>
      </c>
      <c r="O56" s="11">
        <f t="shared" si="5"/>
        <v>7.1202531645569627E-3</v>
      </c>
      <c r="P56" s="11">
        <f t="shared" si="6"/>
        <v>4.7167418978546431E-3</v>
      </c>
      <c r="Q56" s="11">
        <f t="shared" si="7"/>
        <v>5.2728289526244301E-3</v>
      </c>
      <c r="V56" s="10">
        <v>0.86458333333333337</v>
      </c>
      <c r="W56" s="4">
        <f t="shared" si="8"/>
        <v>13.586461072733769</v>
      </c>
      <c r="X56" s="4">
        <f t="shared" si="9"/>
        <v>15.223384093545068</v>
      </c>
      <c r="Y56" s="4">
        <f t="shared" si="10"/>
        <v>15.625174289562386</v>
      </c>
      <c r="Z56" s="4">
        <f t="shared" si="11"/>
        <v>14.34167783006262</v>
      </c>
      <c r="AA56" s="4">
        <f t="shared" si="12"/>
        <v>11.328251359932729</v>
      </c>
      <c r="AB56" s="4">
        <f t="shared" si="13"/>
        <v>5.5695307659311215</v>
      </c>
      <c r="AC56" s="4">
        <f t="shared" si="14"/>
        <v>3.8584614061980589</v>
      </c>
    </row>
    <row r="57" spans="1:29" ht="15.6" x14ac:dyDescent="0.3">
      <c r="A57" s="10">
        <v>0.875</v>
      </c>
      <c r="B57" s="6">
        <v>2.5111111111111111</v>
      </c>
      <c r="C57" s="6">
        <v>3.1777777777777776</v>
      </c>
      <c r="D57" s="6">
        <v>3.25</v>
      </c>
      <c r="E57" s="6">
        <v>2.6818181818181817</v>
      </c>
      <c r="F57" s="6">
        <v>2.0454545454545454</v>
      </c>
      <c r="G57" s="6">
        <v>0.92682926829268297</v>
      </c>
      <c r="H57" s="6">
        <v>1.0476190476190477</v>
      </c>
      <c r="J57" s="10">
        <v>0.875</v>
      </c>
      <c r="K57" s="11">
        <f t="shared" si="1"/>
        <v>3.2998611706338415E-3</v>
      </c>
      <c r="L57" s="11">
        <f t="shared" si="2"/>
        <v>4.118582642443234E-3</v>
      </c>
      <c r="M57" s="11">
        <f t="shared" si="3"/>
        <v>4.2097217871944924E-3</v>
      </c>
      <c r="N57" s="11">
        <f t="shared" si="4"/>
        <v>3.7869340688360073E-3</v>
      </c>
      <c r="O57" s="11">
        <f t="shared" si="5"/>
        <v>3.1567624867493926E-3</v>
      </c>
      <c r="P57" s="11">
        <f t="shared" si="6"/>
        <v>1.9272708829943706E-3</v>
      </c>
      <c r="Q57" s="11">
        <f t="shared" si="7"/>
        <v>3.5152193017496201E-3</v>
      </c>
      <c r="V57" s="10">
        <v>0.875</v>
      </c>
      <c r="W57" s="4">
        <f t="shared" si="8"/>
        <v>6.1657433783892213</v>
      </c>
      <c r="X57" s="4">
        <f t="shared" si="9"/>
        <v>7.8026663992005183</v>
      </c>
      <c r="Y57" s="4">
        <f t="shared" si="10"/>
        <v>7.979999726455075</v>
      </c>
      <c r="Z57" s="4">
        <f t="shared" si="11"/>
        <v>6.5848948791727198</v>
      </c>
      <c r="AA57" s="4">
        <f t="shared" si="12"/>
        <v>5.0223774502164806</v>
      </c>
      <c r="AB57" s="4">
        <f t="shared" si="13"/>
        <v>2.2757222484449748</v>
      </c>
      <c r="AC57" s="4">
        <f t="shared" si="14"/>
        <v>2.572307604132039</v>
      </c>
    </row>
    <row r="58" spans="1:29" ht="15.6" x14ac:dyDescent="0.3">
      <c r="A58" s="10">
        <v>0.88541666666666663</v>
      </c>
      <c r="B58" s="6">
        <v>1.9333333333333333</v>
      </c>
      <c r="C58" s="6">
        <v>2.3555555555555556</v>
      </c>
      <c r="D58" s="6">
        <v>1.7272727272727273</v>
      </c>
      <c r="E58" s="6">
        <v>1.5681818181818181</v>
      </c>
      <c r="F58" s="6">
        <v>1.8863636363636365</v>
      </c>
      <c r="G58" s="6">
        <v>0.82926829268292679</v>
      </c>
      <c r="H58" s="6">
        <v>0.45238095238095238</v>
      </c>
      <c r="J58" s="10">
        <v>0.88541666666666663</v>
      </c>
      <c r="K58" s="11">
        <f t="shared" si="1"/>
        <v>2.5406010782756125E-3</v>
      </c>
      <c r="L58" s="11">
        <f t="shared" si="2"/>
        <v>3.0529353853075724E-3</v>
      </c>
      <c r="M58" s="11">
        <f t="shared" si="3"/>
        <v>2.2373346561313386E-3</v>
      </c>
      <c r="N58" s="11">
        <f t="shared" si="4"/>
        <v>2.2143936504210554E-3</v>
      </c>
      <c r="O58" s="11">
        <f t="shared" si="5"/>
        <v>2.9112365155577733E-3</v>
      </c>
      <c r="P58" s="11">
        <f t="shared" si="6"/>
        <v>1.7244002637318051E-3</v>
      </c>
      <c r="Q58" s="11">
        <f t="shared" si="7"/>
        <v>1.5179356075736995E-3</v>
      </c>
      <c r="V58" s="10">
        <v>0.88541666666666663</v>
      </c>
      <c r="W58" s="4">
        <f t="shared" si="8"/>
        <v>4.7470767603527628</v>
      </c>
      <c r="X58" s="4">
        <f t="shared" si="9"/>
        <v>5.7837946735332517</v>
      </c>
      <c r="Y58" s="4">
        <f t="shared" si="10"/>
        <v>4.241118735738362</v>
      </c>
      <c r="Z58" s="4">
        <f t="shared" si="11"/>
        <v>3.8504893784993026</v>
      </c>
      <c r="AA58" s="4">
        <f t="shared" si="12"/>
        <v>4.6317480929774213</v>
      </c>
      <c r="AB58" s="4">
        <f t="shared" si="13"/>
        <v>2.0361725380823459</v>
      </c>
      <c r="AC58" s="4">
        <f t="shared" si="14"/>
        <v>1.1107691926933805</v>
      </c>
    </row>
    <row r="59" spans="1:29" ht="15.6" x14ac:dyDescent="0.3">
      <c r="A59" s="10">
        <v>0.89583333333333337</v>
      </c>
      <c r="B59" s="6">
        <v>1.9555555555555555</v>
      </c>
      <c r="C59" s="6">
        <v>1.8888888888888888</v>
      </c>
      <c r="D59" s="6">
        <v>2</v>
      </c>
      <c r="E59" s="6">
        <v>1.8409090909090908</v>
      </c>
      <c r="F59" s="6">
        <v>1.2272727272727273</v>
      </c>
      <c r="G59" s="6">
        <v>0.73170731707317072</v>
      </c>
      <c r="H59" s="6">
        <v>0.66666666666666663</v>
      </c>
      <c r="J59" s="10">
        <v>0.89583333333333337</v>
      </c>
      <c r="K59" s="11">
        <f t="shared" si="1"/>
        <v>2.5698033895201595E-3</v>
      </c>
      <c r="L59" s="11">
        <f t="shared" si="2"/>
        <v>2.4481085636900344E-3</v>
      </c>
      <c r="M59" s="11">
        <f t="shared" si="3"/>
        <v>2.5905980228889186E-3</v>
      </c>
      <c r="N59" s="11">
        <f t="shared" si="4"/>
        <v>2.5995055896247169E-3</v>
      </c>
      <c r="O59" s="11">
        <f t="shared" si="5"/>
        <v>1.8940574920496356E-3</v>
      </c>
      <c r="P59" s="11">
        <f t="shared" si="6"/>
        <v>1.5215296444692399E-3</v>
      </c>
      <c r="Q59" s="11">
        <f t="shared" si="7"/>
        <v>2.2369577374770308E-3</v>
      </c>
      <c r="V59" s="10">
        <v>0.89583333333333337</v>
      </c>
      <c r="W59" s="4">
        <f t="shared" si="8"/>
        <v>4.8016408610464723</v>
      </c>
      <c r="X59" s="4">
        <f t="shared" si="9"/>
        <v>4.6379485589653431</v>
      </c>
      <c r="Y59" s="4">
        <f t="shared" si="10"/>
        <v>4.9107690624338929</v>
      </c>
      <c r="Z59" s="4">
        <f t="shared" si="11"/>
        <v>4.5201397051948327</v>
      </c>
      <c r="AA59" s="4">
        <f t="shared" si="12"/>
        <v>3.0134264701298887</v>
      </c>
      <c r="AB59" s="4">
        <f t="shared" si="13"/>
        <v>1.7966228277197169</v>
      </c>
      <c r="AC59" s="4">
        <f t="shared" si="14"/>
        <v>1.6369230208112975</v>
      </c>
    </row>
    <row r="60" spans="1:29" ht="15.6" x14ac:dyDescent="0.3">
      <c r="A60" s="10">
        <v>0.90625</v>
      </c>
      <c r="B60" s="6">
        <v>1.3777777777777778</v>
      </c>
      <c r="C60" s="6">
        <v>1.8222222222222222</v>
      </c>
      <c r="D60" s="6">
        <v>1.9090909090909092</v>
      </c>
      <c r="E60" s="6">
        <v>1.3863636363636365</v>
      </c>
      <c r="F60" s="6">
        <v>0.70454545454545459</v>
      </c>
      <c r="G60" s="6">
        <v>0.41463414634146339</v>
      </c>
      <c r="H60" s="6">
        <v>0.26190476190476192</v>
      </c>
      <c r="J60" s="10">
        <v>0.90625</v>
      </c>
      <c r="K60" s="11">
        <f t="shared" si="1"/>
        <v>1.8105432971619307E-3</v>
      </c>
      <c r="L60" s="11">
        <f t="shared" si="2"/>
        <v>2.361704732030386E-3</v>
      </c>
      <c r="M60" s="11">
        <f t="shared" si="3"/>
        <v>2.4728435673030589E-3</v>
      </c>
      <c r="N60" s="11">
        <f t="shared" si="4"/>
        <v>1.9576523576186142E-3</v>
      </c>
      <c r="O60" s="11">
        <f t="shared" si="5"/>
        <v>1.0873293009914576E-3</v>
      </c>
      <c r="P60" s="11">
        <f t="shared" si="6"/>
        <v>8.6220013186590256E-4</v>
      </c>
      <c r="Q60" s="11">
        <f t="shared" si="7"/>
        <v>8.7880482543740502E-4</v>
      </c>
      <c r="V60" s="10">
        <v>0.90625</v>
      </c>
      <c r="W60" s="4">
        <f t="shared" si="8"/>
        <v>3.3829742430100151</v>
      </c>
      <c r="X60" s="4">
        <f t="shared" si="9"/>
        <v>4.474256256884213</v>
      </c>
      <c r="Y60" s="4">
        <f t="shared" si="10"/>
        <v>4.6875522868687165</v>
      </c>
      <c r="Z60" s="4">
        <f t="shared" si="11"/>
        <v>3.404055827368949</v>
      </c>
      <c r="AA60" s="4">
        <f t="shared" si="12"/>
        <v>1.7299300106301214</v>
      </c>
      <c r="AB60" s="4">
        <f t="shared" si="13"/>
        <v>1.0180862690411729</v>
      </c>
      <c r="AC60" s="4">
        <f t="shared" si="14"/>
        <v>0.64307690103300974</v>
      </c>
    </row>
    <row r="61" spans="1:29" ht="15.6" x14ac:dyDescent="0.3">
      <c r="A61" s="10">
        <v>0.91666666666666663</v>
      </c>
      <c r="B61" s="6">
        <v>0.10810810810810811</v>
      </c>
      <c r="C61" s="6">
        <v>5.4054054054054057E-2</v>
      </c>
      <c r="D61" s="6">
        <v>0.13157894736842105</v>
      </c>
      <c r="E61" s="6">
        <v>8.5714285714285715E-2</v>
      </c>
      <c r="F61" s="6">
        <v>2.7777777777777776E-2</v>
      </c>
      <c r="G61" s="6">
        <v>0</v>
      </c>
      <c r="H61" s="6">
        <v>0</v>
      </c>
      <c r="J61" s="10">
        <v>0.91666666666666663</v>
      </c>
      <c r="K61" s="11">
        <f t="shared" si="1"/>
        <v>1.4206529794644619E-4</v>
      </c>
      <c r="L61" s="11">
        <f t="shared" si="2"/>
        <v>7.0057160805120234E-5</v>
      </c>
      <c r="M61" s="11">
        <f t="shared" si="3"/>
        <v>1.7043408045321832E-4</v>
      </c>
      <c r="N61" s="11">
        <f t="shared" si="4"/>
        <v>1.2103518089257942E-4</v>
      </c>
      <c r="O61" s="11">
        <f t="shared" si="5"/>
        <v>4.2869614017584342E-5</v>
      </c>
      <c r="P61" s="11">
        <f t="shared" si="6"/>
        <v>0</v>
      </c>
      <c r="Q61" s="11">
        <f t="shared" si="7"/>
        <v>0</v>
      </c>
      <c r="V61" s="10">
        <v>0.91666666666666663</v>
      </c>
      <c r="W61" s="4">
        <f t="shared" si="8"/>
        <v>0.26544697634777803</v>
      </c>
      <c r="X61" s="4">
        <f t="shared" si="9"/>
        <v>0.13272348817388901</v>
      </c>
      <c r="Y61" s="4">
        <f t="shared" si="10"/>
        <v>0.32307691200222977</v>
      </c>
      <c r="Z61" s="4">
        <f t="shared" si="11"/>
        <v>0.21046153124716685</v>
      </c>
      <c r="AA61" s="4">
        <f t="shared" si="12"/>
        <v>6.8205125867137395E-2</v>
      </c>
      <c r="AB61" s="4">
        <f t="shared" si="13"/>
        <v>0</v>
      </c>
      <c r="AC61" s="4">
        <f t="shared" si="14"/>
        <v>0</v>
      </c>
    </row>
    <row r="62" spans="1:29" ht="15.6" x14ac:dyDescent="0.3">
      <c r="A62" s="10">
        <v>0.92708333333333337</v>
      </c>
      <c r="B62" s="6">
        <v>0</v>
      </c>
      <c r="C62" s="6">
        <v>2.7777777777777776E-2</v>
      </c>
      <c r="D62" s="6">
        <v>5.2631578947368418E-2</v>
      </c>
      <c r="E62" s="6">
        <v>0</v>
      </c>
      <c r="F62" s="6">
        <v>0</v>
      </c>
      <c r="G62" s="6">
        <v>0</v>
      </c>
      <c r="H62" s="6">
        <v>0</v>
      </c>
      <c r="J62" s="10">
        <v>0.92708333333333337</v>
      </c>
      <c r="K62" s="11">
        <f t="shared" si="1"/>
        <v>0</v>
      </c>
      <c r="L62" s="11">
        <f t="shared" si="2"/>
        <v>3.6001596524853449E-5</v>
      </c>
      <c r="M62" s="11">
        <f t="shared" si="3"/>
        <v>6.8173632181287326E-5</v>
      </c>
      <c r="N62" s="11">
        <f t="shared" si="4"/>
        <v>0</v>
      </c>
      <c r="O62" s="11">
        <f t="shared" si="5"/>
        <v>0</v>
      </c>
      <c r="P62" s="11">
        <f t="shared" si="6"/>
        <v>0</v>
      </c>
      <c r="Q62" s="11">
        <f t="shared" si="7"/>
        <v>0</v>
      </c>
      <c r="V62" s="10">
        <v>0.92708333333333337</v>
      </c>
      <c r="W62" s="4">
        <f t="shared" si="8"/>
        <v>0</v>
      </c>
      <c r="X62" s="4">
        <f t="shared" si="9"/>
        <v>6.8205125867137409E-2</v>
      </c>
      <c r="Y62" s="4">
        <f t="shared" si="10"/>
        <v>0.12923076480089191</v>
      </c>
      <c r="Z62" s="4">
        <f t="shared" si="11"/>
        <v>0</v>
      </c>
      <c r="AA62" s="4">
        <f t="shared" si="12"/>
        <v>0</v>
      </c>
      <c r="AB62" s="4">
        <f t="shared" si="13"/>
        <v>0</v>
      </c>
      <c r="AC62" s="4">
        <f t="shared" si="14"/>
        <v>0</v>
      </c>
    </row>
    <row r="63" spans="1:29" ht="15.6" x14ac:dyDescent="0.3">
      <c r="A63" s="10">
        <v>0.9375</v>
      </c>
      <c r="B63" s="6">
        <v>0</v>
      </c>
      <c r="C63" s="6">
        <v>0</v>
      </c>
      <c r="D63" s="6">
        <v>7.8947368421052627E-2</v>
      </c>
      <c r="E63" s="6">
        <v>0</v>
      </c>
      <c r="F63" s="6">
        <v>0</v>
      </c>
      <c r="G63" s="6">
        <v>0</v>
      </c>
      <c r="H63" s="6">
        <v>0</v>
      </c>
      <c r="J63" s="10">
        <v>0.9375</v>
      </c>
      <c r="K63" s="11">
        <f t="shared" si="1"/>
        <v>0</v>
      </c>
      <c r="L63" s="11">
        <f t="shared" si="2"/>
        <v>0</v>
      </c>
      <c r="M63" s="11">
        <f t="shared" si="3"/>
        <v>1.02260448271931E-4</v>
      </c>
      <c r="N63" s="11">
        <f t="shared" si="4"/>
        <v>0</v>
      </c>
      <c r="O63" s="11">
        <f t="shared" si="5"/>
        <v>0</v>
      </c>
      <c r="P63" s="11">
        <f t="shared" si="6"/>
        <v>0</v>
      </c>
      <c r="Q63" s="11">
        <f t="shared" si="7"/>
        <v>0</v>
      </c>
      <c r="V63" s="10">
        <v>0.9375</v>
      </c>
      <c r="W63" s="4">
        <f t="shared" si="8"/>
        <v>0</v>
      </c>
      <c r="X63" s="4">
        <f t="shared" si="9"/>
        <v>0</v>
      </c>
      <c r="Y63" s="4">
        <f t="shared" si="10"/>
        <v>0.19384614720133789</v>
      </c>
      <c r="Z63" s="4">
        <f t="shared" si="11"/>
        <v>0</v>
      </c>
      <c r="AA63" s="4">
        <f t="shared" si="12"/>
        <v>0</v>
      </c>
      <c r="AB63" s="4">
        <f t="shared" si="13"/>
        <v>0</v>
      </c>
      <c r="AC63" s="4">
        <f t="shared" si="14"/>
        <v>0</v>
      </c>
    </row>
    <row r="64" spans="1:29" ht="15.6" x14ac:dyDescent="0.3">
      <c r="A64" s="10">
        <v>0.94791666666666663</v>
      </c>
      <c r="B64" s="6">
        <v>0</v>
      </c>
      <c r="C64" s="6">
        <v>0</v>
      </c>
      <c r="D64" s="6">
        <v>0.13157894736842105</v>
      </c>
      <c r="E64" s="6">
        <v>0</v>
      </c>
      <c r="F64" s="6">
        <v>0</v>
      </c>
      <c r="G64" s="6">
        <v>0</v>
      </c>
      <c r="H64" s="6">
        <v>0</v>
      </c>
      <c r="J64" s="10">
        <v>0.94791666666666663</v>
      </c>
      <c r="K64" s="11">
        <f t="shared" si="1"/>
        <v>0</v>
      </c>
      <c r="L64" s="11">
        <f t="shared" si="2"/>
        <v>0</v>
      </c>
      <c r="M64" s="11">
        <f t="shared" si="3"/>
        <v>1.7043408045321832E-4</v>
      </c>
      <c r="N64" s="11">
        <f t="shared" si="4"/>
        <v>0</v>
      </c>
      <c r="O64" s="11">
        <f t="shared" si="5"/>
        <v>0</v>
      </c>
      <c r="P64" s="11">
        <f t="shared" si="6"/>
        <v>0</v>
      </c>
      <c r="Q64" s="11">
        <f t="shared" si="7"/>
        <v>0</v>
      </c>
      <c r="V64" s="10">
        <v>0.94791666666666663</v>
      </c>
      <c r="W64" s="4">
        <f t="shared" si="8"/>
        <v>0</v>
      </c>
      <c r="X64" s="4">
        <f t="shared" si="9"/>
        <v>0</v>
      </c>
      <c r="Y64" s="4">
        <f t="shared" si="10"/>
        <v>0.32307691200222977</v>
      </c>
      <c r="Z64" s="4">
        <f t="shared" si="11"/>
        <v>0</v>
      </c>
      <c r="AA64" s="4">
        <f t="shared" si="12"/>
        <v>0</v>
      </c>
      <c r="AB64" s="4">
        <f t="shared" si="13"/>
        <v>0</v>
      </c>
      <c r="AC64" s="4">
        <f t="shared" si="14"/>
        <v>0</v>
      </c>
    </row>
    <row r="65" spans="1:30" ht="15.6" x14ac:dyDescent="0.3">
      <c r="A65" s="10">
        <v>0.95833333333333337</v>
      </c>
      <c r="B65" s="6"/>
      <c r="C65" s="6">
        <v>0</v>
      </c>
      <c r="D65" s="6">
        <v>1</v>
      </c>
      <c r="E65" s="6"/>
      <c r="F65" s="6">
        <v>0</v>
      </c>
      <c r="G65" s="6">
        <v>0</v>
      </c>
      <c r="H65" s="6">
        <v>0</v>
      </c>
      <c r="J65" s="10">
        <v>0.95833333333333337</v>
      </c>
      <c r="K65" s="11">
        <f t="shared" si="1"/>
        <v>0</v>
      </c>
      <c r="L65" s="11">
        <f t="shared" si="2"/>
        <v>0</v>
      </c>
      <c r="M65" s="11">
        <f t="shared" si="3"/>
        <v>1.2952990114444593E-3</v>
      </c>
      <c r="N65" s="11">
        <f t="shared" si="4"/>
        <v>0</v>
      </c>
      <c r="O65" s="11">
        <f t="shared" si="5"/>
        <v>0</v>
      </c>
      <c r="P65" s="11">
        <f t="shared" si="6"/>
        <v>0</v>
      </c>
      <c r="Q65" s="11">
        <f t="shared" si="7"/>
        <v>0</v>
      </c>
      <c r="V65" s="10">
        <v>0.95833333333333337</v>
      </c>
      <c r="W65" s="4">
        <f t="shared" si="8"/>
        <v>0</v>
      </c>
      <c r="X65" s="4">
        <f t="shared" si="9"/>
        <v>0</v>
      </c>
      <c r="Y65" s="4">
        <f t="shared" si="10"/>
        <v>2.4553845312169464</v>
      </c>
      <c r="Z65" s="4">
        <f t="shared" si="11"/>
        <v>0</v>
      </c>
      <c r="AA65" s="4">
        <f t="shared" si="12"/>
        <v>0</v>
      </c>
      <c r="AB65" s="4">
        <f t="shared" si="13"/>
        <v>0</v>
      </c>
      <c r="AC65" s="4">
        <f t="shared" si="14"/>
        <v>0</v>
      </c>
    </row>
    <row r="66" spans="1:30" x14ac:dyDescent="0.3">
      <c r="A66" s="1" t="s">
        <v>18</v>
      </c>
      <c r="B66" s="13">
        <f>SUM(B5:B65)</f>
        <v>760.97477477477446</v>
      </c>
      <c r="C66" s="13">
        <f t="shared" ref="C66:H66" si="15">SUM(C5:C65)</f>
        <v>771.57072072072094</v>
      </c>
      <c r="D66" s="13">
        <f t="shared" si="15"/>
        <v>772.02251461988294</v>
      </c>
      <c r="E66" s="13">
        <f t="shared" si="15"/>
        <v>708.17662337662352</v>
      </c>
      <c r="F66" s="13">
        <f t="shared" si="15"/>
        <v>647.95959595959584</v>
      </c>
      <c r="G66" s="13">
        <f t="shared" si="15"/>
        <v>480.90243902439022</v>
      </c>
      <c r="H66" s="13">
        <f t="shared" si="15"/>
        <v>298.02380952380958</v>
      </c>
      <c r="I66" s="13"/>
      <c r="V66" s="9" t="s">
        <v>18</v>
      </c>
      <c r="W66" s="4">
        <f>SUM(W5:W65)</f>
        <v>1868.4856906282814</v>
      </c>
      <c r="X66" s="4">
        <f t="shared" ref="X66:AC66" si="16">SUM(X5:X65)</f>
        <v>1894.5028123975685</v>
      </c>
      <c r="Y66" s="4">
        <f t="shared" si="16"/>
        <v>1895.6121401488697</v>
      </c>
      <c r="Z66" s="4">
        <f t="shared" si="16"/>
        <v>1738.8459264084104</v>
      </c>
      <c r="AA66" s="4">
        <f t="shared" si="16"/>
        <v>1590.9899687727741</v>
      </c>
      <c r="AB66" s="4">
        <f t="shared" si="16"/>
        <v>1180.8004098049887</v>
      </c>
      <c r="AC66" s="4">
        <f t="shared" si="16"/>
        <v>731.7630518391079</v>
      </c>
      <c r="AD66" s="5">
        <f>SUM(W66:AC66)</f>
        <v>10901.000000000004</v>
      </c>
    </row>
    <row r="67" spans="1:30" x14ac:dyDescent="0.3">
      <c r="A67" s="9" t="s">
        <v>19</v>
      </c>
      <c r="B67" s="11">
        <f>B66/SUM($B$66:$H$66)</f>
        <v>0.17140498033467397</v>
      </c>
      <c r="C67" s="11">
        <f t="shared" ref="C67:H67" si="17">C66/SUM($B$66:$H$66)</f>
        <v>0.17379165327929263</v>
      </c>
      <c r="D67" s="11">
        <f t="shared" si="17"/>
        <v>0.17389341713135212</v>
      </c>
      <c r="E67" s="11">
        <f t="shared" si="17"/>
        <v>0.15951251503608943</v>
      </c>
      <c r="F67" s="11">
        <f t="shared" si="17"/>
        <v>0.14594899264037925</v>
      </c>
      <c r="G67" s="11">
        <f t="shared" si="17"/>
        <v>0.10832037517704693</v>
      </c>
      <c r="H67" s="11">
        <f t="shared" si="17"/>
        <v>6.712806640116574E-2</v>
      </c>
      <c r="I67" s="14">
        <f>SUM(B67:H67)</f>
        <v>1</v>
      </c>
      <c r="V67" s="8" t="s">
        <v>19</v>
      </c>
      <c r="W67" s="11">
        <f>W66/SUM($W$66:$AC$66)</f>
        <v>0.17140498033467397</v>
      </c>
      <c r="X67" s="11">
        <f t="shared" ref="X67:AC67" si="18">X66/SUM($W$66:$AC$66)</f>
        <v>0.17379165327929252</v>
      </c>
      <c r="Y67" s="11">
        <f t="shared" si="18"/>
        <v>0.17389341713135209</v>
      </c>
      <c r="Z67" s="11">
        <f t="shared" si="18"/>
        <v>0.15951251503608932</v>
      </c>
      <c r="AA67" s="11">
        <f t="shared" si="18"/>
        <v>0.14594899264037919</v>
      </c>
      <c r="AB67" s="11">
        <f t="shared" si="18"/>
        <v>0.1083203751770469</v>
      </c>
      <c r="AC67" s="11">
        <f t="shared" si="18"/>
        <v>6.712806640116574E-2</v>
      </c>
      <c r="AD67" s="14">
        <f>SUM(W67:AC67)</f>
        <v>0.99999999999999978</v>
      </c>
    </row>
  </sheetData>
  <mergeCells count="3">
    <mergeCell ref="A1:H1"/>
    <mergeCell ref="J1:Q1"/>
    <mergeCell ref="V1:AC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1E87-A92C-4B3E-9377-16CA51D501B5}">
  <dimension ref="A1:AN67"/>
  <sheetViews>
    <sheetView showGridLines="0" topLeftCell="U1" workbookViewId="0">
      <selection activeCell="AG2" sqref="AG2"/>
    </sheetView>
  </sheetViews>
  <sheetFormatPr defaultRowHeight="14.4" x14ac:dyDescent="0.3"/>
  <cols>
    <col min="1" max="1" width="11.5546875" customWidth="1"/>
    <col min="2" max="2" width="8.88671875" style="1" bestFit="1" customWidth="1"/>
    <col min="3" max="3" width="9" style="1" bestFit="1" customWidth="1"/>
    <col min="4" max="4" width="12.44140625" style="1" bestFit="1" customWidth="1"/>
    <col min="5" max="5" width="10.5546875" style="1" bestFit="1" customWidth="1"/>
    <col min="6" max="6" width="8.21875" style="1" customWidth="1"/>
    <col min="7" max="7" width="10.21875" style="1" bestFit="1" customWidth="1"/>
    <col min="8" max="8" width="8.33203125" style="1" bestFit="1" customWidth="1"/>
    <col min="11" max="11" width="14.33203125" customWidth="1"/>
    <col min="13" max="13" width="9" bestFit="1" customWidth="1"/>
    <col min="14" max="14" width="12.44140625" bestFit="1" customWidth="1"/>
    <col min="15" max="15" width="10.5546875" bestFit="1" customWidth="1"/>
    <col min="16" max="16" width="9.6640625" customWidth="1"/>
    <col min="17" max="17" width="10.21875" bestFit="1" customWidth="1"/>
    <col min="18" max="18" width="8.33203125" bestFit="1" customWidth="1"/>
    <col min="20" max="20" width="13" bestFit="1" customWidth="1"/>
    <col min="21" max="21" width="14.109375" bestFit="1" customWidth="1"/>
    <col min="22" max="22" width="12.88671875" customWidth="1"/>
    <col min="23" max="40" width="12.77734375" customWidth="1"/>
  </cols>
  <sheetData>
    <row r="1" spans="1:40" ht="39" customHeight="1" x14ac:dyDescent="0.3">
      <c r="A1" s="30" t="s">
        <v>38</v>
      </c>
      <c r="B1" s="30"/>
      <c r="C1" s="30"/>
      <c r="D1" s="30"/>
      <c r="E1" s="30"/>
      <c r="F1" s="30"/>
      <c r="G1" s="30"/>
      <c r="H1" s="30"/>
      <c r="I1" s="29"/>
      <c r="J1" s="29"/>
      <c r="K1" s="30" t="s">
        <v>40</v>
      </c>
      <c r="L1" s="30"/>
      <c r="M1" s="30"/>
      <c r="N1" s="30"/>
      <c r="O1" s="30"/>
      <c r="P1" s="30"/>
      <c r="Q1" s="30"/>
      <c r="R1" s="30"/>
      <c r="W1" s="30" t="s">
        <v>41</v>
      </c>
      <c r="X1" s="30"/>
      <c r="Y1" s="30"/>
      <c r="Z1" s="30"/>
      <c r="AA1" s="30"/>
      <c r="AB1" s="30"/>
      <c r="AC1" s="30"/>
      <c r="AD1" s="30"/>
      <c r="AG1" s="31" t="s">
        <v>46</v>
      </c>
      <c r="AH1" s="31"/>
      <c r="AI1" s="31"/>
      <c r="AJ1" s="31"/>
      <c r="AK1" s="31"/>
      <c r="AL1" s="31"/>
      <c r="AM1" s="31"/>
      <c r="AN1" s="31"/>
    </row>
    <row r="3" spans="1:40" x14ac:dyDescent="0.3">
      <c r="A3" s="9" t="s">
        <v>19</v>
      </c>
      <c r="B3" s="11">
        <f>B67</f>
        <v>0.99458063988771284</v>
      </c>
      <c r="C3" s="11">
        <f t="shared" ref="C3:H3" si="0">C67</f>
        <v>0.96510148248840388</v>
      </c>
      <c r="D3" s="11">
        <f t="shared" si="0"/>
        <v>0.99662811237429039</v>
      </c>
      <c r="E3" s="11">
        <f t="shared" si="0"/>
        <v>1.0277978553383345</v>
      </c>
      <c r="F3" s="11">
        <f t="shared" si="0"/>
        <v>0.99172918917859276</v>
      </c>
      <c r="G3" s="11">
        <f t="shared" si="0"/>
        <v>1.0896622785535535</v>
      </c>
      <c r="H3" s="11">
        <f t="shared" si="0"/>
        <v>0.9201687785877718</v>
      </c>
      <c r="K3" s="9" t="s">
        <v>20</v>
      </c>
      <c r="V3" s="7" t="s">
        <v>27</v>
      </c>
      <c r="W3" s="1">
        <v>1214</v>
      </c>
    </row>
    <row r="4" spans="1:40" x14ac:dyDescent="0.3">
      <c r="A4" s="9" t="s">
        <v>10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W4" s="9" t="s">
        <v>10</v>
      </c>
      <c r="X4" s="9" t="s">
        <v>11</v>
      </c>
      <c r="Y4" s="9" t="s">
        <v>12</v>
      </c>
      <c r="Z4" s="9" t="s">
        <v>13</v>
      </c>
      <c r="AA4" s="9" t="s">
        <v>14</v>
      </c>
      <c r="AB4" s="9" t="s">
        <v>15</v>
      </c>
      <c r="AC4" s="9" t="s">
        <v>16</v>
      </c>
      <c r="AD4" s="9" t="s">
        <v>17</v>
      </c>
      <c r="AG4" s="9" t="s">
        <v>10</v>
      </c>
      <c r="AH4" s="9" t="s">
        <v>11</v>
      </c>
      <c r="AI4" s="9" t="s">
        <v>12</v>
      </c>
      <c r="AJ4" s="9" t="s">
        <v>13</v>
      </c>
      <c r="AK4" s="9" t="s">
        <v>14</v>
      </c>
      <c r="AL4" s="9" t="s">
        <v>15</v>
      </c>
      <c r="AM4" s="9" t="s">
        <v>16</v>
      </c>
      <c r="AN4" s="9" t="s">
        <v>17</v>
      </c>
    </row>
    <row r="5" spans="1:40" ht="15.6" x14ac:dyDescent="0.3">
      <c r="A5" s="10">
        <v>0.33333333333333331</v>
      </c>
      <c r="B5" s="6">
        <v>386.125</v>
      </c>
      <c r="C5" s="6">
        <v>391.875</v>
      </c>
      <c r="D5" s="6">
        <v>393.2</v>
      </c>
      <c r="E5" s="6">
        <v>422.3</v>
      </c>
      <c r="F5" s="6">
        <v>380.3</v>
      </c>
      <c r="G5" s="6">
        <v>352.625</v>
      </c>
      <c r="H5" s="6">
        <v>320</v>
      </c>
      <c r="K5" s="10">
        <v>0.33333333333333331</v>
      </c>
      <c r="L5" s="11">
        <f>B5/B66</f>
        <v>0.30646129415432016</v>
      </c>
      <c r="M5" s="11">
        <f>C5/$C$66</f>
        <v>0.32052527873559966</v>
      </c>
      <c r="N5" s="11">
        <f>D5/$D$66</f>
        <v>0.31143547945700034</v>
      </c>
      <c r="O5" s="11">
        <f>E5/$E$66</f>
        <v>0.3243404279438214</v>
      </c>
      <c r="P5" s="11">
        <f>F5/$F$66</f>
        <v>0.30270593823146519</v>
      </c>
      <c r="Q5" s="11">
        <f>G5/$G$66</f>
        <v>0.25545175653237201</v>
      </c>
      <c r="R5" s="11">
        <f>H5/$H$66</f>
        <v>0.27451760159312383</v>
      </c>
      <c r="T5" s="15" t="s">
        <v>21</v>
      </c>
      <c r="U5" t="s">
        <v>26</v>
      </c>
      <c r="W5" s="10">
        <v>0.33333333333333331</v>
      </c>
      <c r="X5" s="4">
        <f>L5*X$66</f>
        <v>370.02777062955585</v>
      </c>
      <c r="Y5" s="4">
        <f>M5*Y$66</f>
        <v>375.53805792284163</v>
      </c>
      <c r="Z5" s="4">
        <f t="shared" ref="Z5:AD5" si="1">N5*Z$66</f>
        <v>376.80781977738133</v>
      </c>
      <c r="AA5" s="4">
        <f t="shared" si="1"/>
        <v>404.69466503557516</v>
      </c>
      <c r="AB5" s="4">
        <f t="shared" si="1"/>
        <v>364.44561002374905</v>
      </c>
      <c r="AC5" s="4">
        <f t="shared" si="1"/>
        <v>337.92435770345645</v>
      </c>
      <c r="AD5" s="4">
        <f t="shared" si="1"/>
        <v>306.6594667567702</v>
      </c>
      <c r="AG5" s="10">
        <v>0.33333333333333331</v>
      </c>
      <c r="AH5" s="4">
        <f>X5</f>
        <v>370.02777062955585</v>
      </c>
      <c r="AI5" s="4">
        <f t="shared" ref="AI5:AI65" si="2">Y5</f>
        <v>375.53805792284163</v>
      </c>
      <c r="AJ5" s="4">
        <f t="shared" ref="AJ5:AJ65" si="3">Z5</f>
        <v>376.80781977738133</v>
      </c>
      <c r="AK5" s="4">
        <f t="shared" ref="AK5:AK65" si="4">AA5</f>
        <v>404.69466503557516</v>
      </c>
      <c r="AL5" s="4">
        <f t="shared" ref="AL5:AL65" si="5">AB5</f>
        <v>364.44561002374905</v>
      </c>
      <c r="AM5" s="4">
        <f t="shared" ref="AM5:AM65" si="6">AC5</f>
        <v>337.92435770345645</v>
      </c>
      <c r="AN5" s="4">
        <f t="shared" ref="AN5:AN65" si="7">AD5</f>
        <v>306.6594667567702</v>
      </c>
    </row>
    <row r="6" spans="1:40" ht="15.6" x14ac:dyDescent="0.3">
      <c r="A6" s="10">
        <v>0.34375</v>
      </c>
      <c r="B6" s="6">
        <v>758.25</v>
      </c>
      <c r="C6" s="6">
        <v>848.125</v>
      </c>
      <c r="D6" s="6">
        <v>969.2</v>
      </c>
      <c r="E6" s="6">
        <v>1331.4</v>
      </c>
      <c r="F6" s="6">
        <v>956.3</v>
      </c>
      <c r="G6" s="6">
        <v>598.875</v>
      </c>
      <c r="H6" s="6">
        <v>720.25</v>
      </c>
      <c r="K6" s="10">
        <v>0.34375</v>
      </c>
      <c r="L6" s="11">
        <f t="shared" ref="L6:L65" si="8">B6/$B$66</f>
        <v>0.60181101014571259</v>
      </c>
      <c r="M6" s="11">
        <f t="shared" ref="M6:M65" si="9">C6/$C$66</f>
        <v>0.69370463037353858</v>
      </c>
      <c r="N6" s="11">
        <f t="shared" ref="N6:N65" si="10">D6/$D$66</f>
        <v>0.76765835882432543</v>
      </c>
      <c r="O6" s="11">
        <f t="shared" ref="O6:O65" si="11">E6/$E$66</f>
        <v>1.0225594263897795</v>
      </c>
      <c r="P6" s="11">
        <f t="shared" ref="P6:P65" si="12">F6/$F$66</f>
        <v>0.76118245787733407</v>
      </c>
      <c r="Q6" s="11">
        <f t="shared" ref="Q6:Q65" si="13">G6/$G$66</f>
        <v>0.43384238410017523</v>
      </c>
      <c r="R6" s="11">
        <f t="shared" ref="R6:R65" si="14">H6/$H$66</f>
        <v>0.61787907046077317</v>
      </c>
      <c r="T6" s="16">
        <v>45992</v>
      </c>
      <c r="U6" s="5">
        <v>1214.9336870026525</v>
      </c>
      <c r="W6" s="10">
        <v>0.34375</v>
      </c>
      <c r="X6" s="4">
        <f t="shared" ref="X6:X65" si="15">L6*X$66</f>
        <v>726.63918958850309</v>
      </c>
      <c r="Y6" s="4">
        <f t="shared" ref="Y6:Y65" si="16">M6*Y$66</f>
        <v>812.76737575964273</v>
      </c>
      <c r="Z6" s="4">
        <f t="shared" ref="Z6:Z65" si="17">N6*Z$66</f>
        <v>928.79485993956769</v>
      </c>
      <c r="AA6" s="4">
        <f t="shared" ref="AA6:AA65" si="18">O6*AA$66</f>
        <v>1275.8950438748873</v>
      </c>
      <c r="AB6" s="4">
        <f t="shared" ref="AB6:AB65" si="19">P6*AB$66</f>
        <v>916.43265018593536</v>
      </c>
      <c r="AC6" s="4">
        <f t="shared" ref="AC6:AC65" si="20">Q6*AC$66</f>
        <v>573.90840048112727</v>
      </c>
      <c r="AD6" s="4">
        <f t="shared" ref="AD6:AD65" si="21">R6*AD$66</f>
        <v>690.22337791113659</v>
      </c>
      <c r="AG6" s="10">
        <v>0.34375</v>
      </c>
      <c r="AH6" s="4">
        <f t="shared" ref="AH6:AH65" si="22">X6</f>
        <v>726.63918958850309</v>
      </c>
      <c r="AI6" s="4">
        <f t="shared" si="2"/>
        <v>812.76737575964273</v>
      </c>
      <c r="AJ6" s="4">
        <f t="shared" si="3"/>
        <v>928.79485993956769</v>
      </c>
      <c r="AK6" s="4">
        <f t="shared" si="4"/>
        <v>1275.8950438748873</v>
      </c>
      <c r="AL6" s="4">
        <f t="shared" si="5"/>
        <v>916.43265018593536</v>
      </c>
      <c r="AM6" s="4">
        <f t="shared" si="6"/>
        <v>573.90840048112727</v>
      </c>
      <c r="AN6" s="4">
        <f t="shared" si="7"/>
        <v>690.22337791113659</v>
      </c>
    </row>
    <row r="7" spans="1:40" ht="15.6" x14ac:dyDescent="0.3">
      <c r="A7" s="10">
        <v>0.35416666666666669</v>
      </c>
      <c r="B7" s="6">
        <v>1247.5</v>
      </c>
      <c r="C7" s="6">
        <v>1316.25</v>
      </c>
      <c r="D7" s="6">
        <v>1304.2</v>
      </c>
      <c r="E7" s="6">
        <v>1301.5</v>
      </c>
      <c r="F7" s="6">
        <v>1004.4</v>
      </c>
      <c r="G7" s="6">
        <v>1345.75</v>
      </c>
      <c r="H7" s="6">
        <v>1049.625</v>
      </c>
      <c r="K7" s="10">
        <v>0.35416666666666669</v>
      </c>
      <c r="L7" s="11">
        <f t="shared" si="8"/>
        <v>0.99012098273231319</v>
      </c>
      <c r="M7" s="11">
        <f t="shared" si="9"/>
        <v>1.0765968692458896</v>
      </c>
      <c r="N7" s="11">
        <f t="shared" si="10"/>
        <v>1.0329963181785857</v>
      </c>
      <c r="O7" s="11">
        <f t="shared" si="11"/>
        <v>0.99959523317282395</v>
      </c>
      <c r="P7" s="11">
        <f t="shared" si="12"/>
        <v>0.79946843113248389</v>
      </c>
      <c r="Q7" s="11">
        <f t="shared" si="13"/>
        <v>0.97490025197714192</v>
      </c>
      <c r="R7" s="11">
        <f t="shared" si="14"/>
        <v>0.90043917991307054</v>
      </c>
      <c r="T7" s="16">
        <v>45993</v>
      </c>
      <c r="U7" s="5">
        <v>1214.9249583101723</v>
      </c>
      <c r="W7" s="10">
        <v>0.35416666666666669</v>
      </c>
      <c r="X7" s="4">
        <f t="shared" si="15"/>
        <v>1195.4927649345962</v>
      </c>
      <c r="Y7" s="4">
        <f t="shared" si="16"/>
        <v>1261.376634745621</v>
      </c>
      <c r="Z7" s="4">
        <f t="shared" si="17"/>
        <v>1249.8289892005616</v>
      </c>
      <c r="AA7" s="4">
        <f t="shared" si="18"/>
        <v>1247.2415499498013</v>
      </c>
      <c r="AB7" s="4">
        <f t="shared" si="19"/>
        <v>962.52740128281243</v>
      </c>
      <c r="AC7" s="4">
        <f t="shared" si="20"/>
        <v>1289.6468043372608</v>
      </c>
      <c r="AD7" s="4">
        <f t="shared" si="21"/>
        <v>1005.8670087330465</v>
      </c>
      <c r="AG7" s="10">
        <v>0.35416666666666669</v>
      </c>
      <c r="AH7" s="4">
        <f t="shared" si="22"/>
        <v>1195.4927649345962</v>
      </c>
      <c r="AI7" s="4">
        <f t="shared" si="2"/>
        <v>1261.376634745621</v>
      </c>
      <c r="AJ7" s="4">
        <f t="shared" si="3"/>
        <v>1249.8289892005616</v>
      </c>
      <c r="AK7" s="4">
        <f t="shared" si="4"/>
        <v>1247.2415499498013</v>
      </c>
      <c r="AL7" s="4">
        <f t="shared" si="5"/>
        <v>962.52740128281243</v>
      </c>
      <c r="AM7" s="4">
        <f t="shared" si="6"/>
        <v>1289.6468043372608</v>
      </c>
      <c r="AN7" s="4">
        <f t="shared" si="7"/>
        <v>1005.8670087330465</v>
      </c>
    </row>
    <row r="8" spans="1:40" ht="15.6" x14ac:dyDescent="0.3">
      <c r="A8" s="10">
        <v>0.36458333333333331</v>
      </c>
      <c r="B8" s="6">
        <v>1070.125</v>
      </c>
      <c r="C8" s="6">
        <v>1503.625</v>
      </c>
      <c r="D8" s="6">
        <v>1332.4</v>
      </c>
      <c r="E8" s="6">
        <v>1449.7</v>
      </c>
      <c r="F8" s="6">
        <v>1008.6</v>
      </c>
      <c r="G8" s="6">
        <v>1314.125</v>
      </c>
      <c r="H8" s="6">
        <v>671.5</v>
      </c>
      <c r="K8" s="10">
        <v>0.36458333333333331</v>
      </c>
      <c r="L8" s="11">
        <f t="shared" si="8"/>
        <v>0.84934125582879094</v>
      </c>
      <c r="M8" s="11">
        <f t="shared" si="9"/>
        <v>1.2298560057130872</v>
      </c>
      <c r="N8" s="11">
        <f t="shared" si="10"/>
        <v>1.0553322299809442</v>
      </c>
      <c r="O8" s="11">
        <f t="shared" si="11"/>
        <v>1.1134177560742551</v>
      </c>
      <c r="P8" s="11">
        <f t="shared" si="12"/>
        <v>0.80281148908823508</v>
      </c>
      <c r="Q8" s="11">
        <f t="shared" si="13"/>
        <v>0.95199018660929713</v>
      </c>
      <c r="R8" s="11">
        <f t="shared" si="14"/>
        <v>0.57605802959307073</v>
      </c>
      <c r="T8" s="16">
        <v>45994</v>
      </c>
      <c r="U8" s="5">
        <v>1214.9202733485195</v>
      </c>
      <c r="W8" s="10">
        <v>0.36458333333333331</v>
      </c>
      <c r="X8" s="4">
        <f t="shared" si="15"/>
        <v>1025.5123808221522</v>
      </c>
      <c r="Y8" s="4">
        <f t="shared" si="16"/>
        <v>1440.9401271942143</v>
      </c>
      <c r="Z8" s="4">
        <f t="shared" si="17"/>
        <v>1276.8533547085019</v>
      </c>
      <c r="AA8" s="4">
        <f t="shared" si="18"/>
        <v>1389.2632154915307</v>
      </c>
      <c r="AB8" s="4">
        <f t="shared" si="19"/>
        <v>966.55230678399505</v>
      </c>
      <c r="AC8" s="4">
        <f t="shared" si="20"/>
        <v>1259.3402242241893</v>
      </c>
      <c r="AD8" s="4">
        <f t="shared" si="21"/>
        <v>643.50572477240985</v>
      </c>
      <c r="AG8" s="10">
        <v>0.36458333333333331</v>
      </c>
      <c r="AH8" s="4">
        <f t="shared" si="22"/>
        <v>1025.5123808221522</v>
      </c>
      <c r="AI8" s="4">
        <f t="shared" si="2"/>
        <v>1440.9401271942143</v>
      </c>
      <c r="AJ8" s="4">
        <f t="shared" si="3"/>
        <v>1276.8533547085019</v>
      </c>
      <c r="AK8" s="4">
        <f t="shared" si="4"/>
        <v>1389.2632154915307</v>
      </c>
      <c r="AL8" s="4">
        <f t="shared" si="5"/>
        <v>966.55230678399505</v>
      </c>
      <c r="AM8" s="4">
        <f t="shared" si="6"/>
        <v>1259.3402242241893</v>
      </c>
      <c r="AN8" s="4">
        <f t="shared" si="7"/>
        <v>643.50572477240985</v>
      </c>
    </row>
    <row r="9" spans="1:40" ht="15.6" x14ac:dyDescent="0.3">
      <c r="A9" s="10">
        <v>0.375</v>
      </c>
      <c r="B9" s="6">
        <v>1072.625</v>
      </c>
      <c r="C9" s="6">
        <v>981.375</v>
      </c>
      <c r="D9" s="6">
        <v>1143.7</v>
      </c>
      <c r="E9" s="6">
        <v>1205</v>
      </c>
      <c r="F9" s="6">
        <v>1144.2</v>
      </c>
      <c r="G9" s="6">
        <v>1508.75</v>
      </c>
      <c r="H9" s="6">
        <v>829.625</v>
      </c>
      <c r="K9" s="10">
        <v>0.375</v>
      </c>
      <c r="L9" s="11">
        <f t="shared" si="8"/>
        <v>0.85132546621502803</v>
      </c>
      <c r="M9" s="11">
        <f t="shared" si="9"/>
        <v>0.80269344923546815</v>
      </c>
      <c r="N9" s="11">
        <f t="shared" si="10"/>
        <v>0.90587171377154452</v>
      </c>
      <c r="O9" s="11">
        <f t="shared" si="11"/>
        <v>0.92548002763984083</v>
      </c>
      <c r="P9" s="11">
        <f t="shared" si="12"/>
        <v>0.9107445030882001</v>
      </c>
      <c r="Q9" s="11">
        <f t="shared" si="13"/>
        <v>1.0929821699205</v>
      </c>
      <c r="R9" s="11">
        <f t="shared" si="14"/>
        <v>0.71170832881779789</v>
      </c>
      <c r="T9" s="16">
        <v>45995</v>
      </c>
      <c r="U9" s="5">
        <v>1214.9101796407185</v>
      </c>
      <c r="W9" s="10">
        <v>0.375</v>
      </c>
      <c r="X9" s="4">
        <f t="shared" si="15"/>
        <v>1027.9081579061894</v>
      </c>
      <c r="Y9" s="4">
        <f t="shared" si="16"/>
        <v>940.46229433882911</v>
      </c>
      <c r="Z9" s="4">
        <f t="shared" si="17"/>
        <v>1096.020100405369</v>
      </c>
      <c r="AA9" s="4">
        <f t="shared" si="18"/>
        <v>1154.7645545059629</v>
      </c>
      <c r="AB9" s="4">
        <f t="shared" si="19"/>
        <v>1096.4992558221766</v>
      </c>
      <c r="AC9" s="4">
        <f t="shared" si="20"/>
        <v>1445.8514702164907</v>
      </c>
      <c r="AD9" s="4">
        <f t="shared" si="21"/>
        <v>795.03862533776703</v>
      </c>
      <c r="AG9" s="10">
        <v>0.375</v>
      </c>
      <c r="AH9" s="4">
        <f t="shared" si="22"/>
        <v>1027.9081579061894</v>
      </c>
      <c r="AI9" s="4">
        <f t="shared" si="2"/>
        <v>940.46229433882911</v>
      </c>
      <c r="AJ9" s="4">
        <f t="shared" si="3"/>
        <v>1096.020100405369</v>
      </c>
      <c r="AK9" s="4">
        <f t="shared" si="4"/>
        <v>1154.7645545059629</v>
      </c>
      <c r="AL9" s="4">
        <f t="shared" si="5"/>
        <v>1096.4992558221766</v>
      </c>
      <c r="AM9" s="4">
        <f t="shared" si="6"/>
        <v>1445.8514702164907</v>
      </c>
      <c r="AN9" s="4">
        <f t="shared" si="7"/>
        <v>795.03862533776703</v>
      </c>
    </row>
    <row r="10" spans="1:40" ht="15.6" x14ac:dyDescent="0.3">
      <c r="A10" s="10">
        <v>0.38541666666666669</v>
      </c>
      <c r="B10" s="6">
        <v>1062.125</v>
      </c>
      <c r="C10" s="6">
        <v>921.5</v>
      </c>
      <c r="D10" s="6">
        <v>1860</v>
      </c>
      <c r="E10" s="6">
        <v>1017.6</v>
      </c>
      <c r="F10" s="6">
        <v>1322</v>
      </c>
      <c r="G10" s="6">
        <v>1245.625</v>
      </c>
      <c r="H10" s="6">
        <v>873.125</v>
      </c>
      <c r="K10" s="10">
        <v>0.38541666666666669</v>
      </c>
      <c r="L10" s="11">
        <f t="shared" si="8"/>
        <v>0.84299178259283214</v>
      </c>
      <c r="M10" s="11">
        <f t="shared" si="9"/>
        <v>0.75372004939037973</v>
      </c>
      <c r="N10" s="11">
        <f t="shared" si="10"/>
        <v>1.4732197146236539</v>
      </c>
      <c r="O10" s="11">
        <f t="shared" si="11"/>
        <v>0.78155060259444153</v>
      </c>
      <c r="P10" s="11">
        <f t="shared" si="12"/>
        <v>1.0522672898816645</v>
      </c>
      <c r="Q10" s="11">
        <f t="shared" si="13"/>
        <v>0.90236680391530921</v>
      </c>
      <c r="R10" s="11">
        <f t="shared" si="14"/>
        <v>0.74902556528436315</v>
      </c>
      <c r="T10" s="16">
        <v>45996</v>
      </c>
      <c r="U10" s="5">
        <v>1214.9805447470817</v>
      </c>
      <c r="W10" s="10">
        <v>0.38541666666666669</v>
      </c>
      <c r="X10" s="4">
        <f t="shared" si="15"/>
        <v>1017.8458941532328</v>
      </c>
      <c r="Y10" s="4">
        <f t="shared" si="16"/>
        <v>883.08343317613651</v>
      </c>
      <c r="Z10" s="4">
        <f t="shared" si="17"/>
        <v>1782.4581505237268</v>
      </c>
      <c r="AA10" s="4">
        <f t="shared" si="18"/>
        <v>975.17710428652924</v>
      </c>
      <c r="AB10" s="4">
        <f t="shared" si="19"/>
        <v>1266.886922038907</v>
      </c>
      <c r="AC10" s="4">
        <f t="shared" si="20"/>
        <v>1193.6959321215684</v>
      </c>
      <c r="AD10" s="4">
        <f t="shared" si="21"/>
        <v>836.72514660001548</v>
      </c>
      <c r="AG10" s="10">
        <v>0.38541666666666669</v>
      </c>
      <c r="AH10" s="4">
        <f t="shared" si="22"/>
        <v>1017.8458941532328</v>
      </c>
      <c r="AI10" s="4">
        <f t="shared" si="2"/>
        <v>883.08343317613651</v>
      </c>
      <c r="AJ10" s="4">
        <f t="shared" si="3"/>
        <v>1782.4581505237268</v>
      </c>
      <c r="AK10" s="4">
        <f t="shared" si="4"/>
        <v>975.17710428652924</v>
      </c>
      <c r="AL10" s="4">
        <f t="shared" si="5"/>
        <v>1266.886922038907</v>
      </c>
      <c r="AM10" s="4">
        <f t="shared" si="6"/>
        <v>1193.6959321215684</v>
      </c>
      <c r="AN10" s="4">
        <f t="shared" si="7"/>
        <v>836.72514660001548</v>
      </c>
    </row>
    <row r="11" spans="1:40" ht="15.6" x14ac:dyDescent="0.3">
      <c r="A11" s="10">
        <v>0.39583333333333331</v>
      </c>
      <c r="B11" s="6">
        <v>1301.75</v>
      </c>
      <c r="C11" s="6">
        <v>1207.375</v>
      </c>
      <c r="D11" s="6">
        <v>1127.5999999999999</v>
      </c>
      <c r="E11" s="6">
        <v>1171</v>
      </c>
      <c r="F11" s="6">
        <v>1228.9000000000001</v>
      </c>
      <c r="G11" s="6">
        <v>1472.25</v>
      </c>
      <c r="H11" s="6">
        <v>789.75</v>
      </c>
      <c r="K11" s="10">
        <v>0.39583333333333331</v>
      </c>
      <c r="L11" s="11">
        <f t="shared" si="8"/>
        <v>1.0331783481136583</v>
      </c>
      <c r="M11" s="11">
        <f t="shared" si="9"/>
        <v>0.98754502944406919</v>
      </c>
      <c r="N11" s="11">
        <f t="shared" si="10"/>
        <v>0.89311965065033971</v>
      </c>
      <c r="O11" s="11">
        <f t="shared" si="11"/>
        <v>0.89936689822925608</v>
      </c>
      <c r="P11" s="11">
        <f t="shared" si="12"/>
        <v>0.97816283852918118</v>
      </c>
      <c r="Q11" s="11">
        <f t="shared" si="13"/>
        <v>1.0665405134485211</v>
      </c>
      <c r="R11" s="11">
        <f t="shared" si="14"/>
        <v>0.67750086205677973</v>
      </c>
      <c r="T11" s="16">
        <v>45997</v>
      </c>
      <c r="U11" s="5">
        <v>1214.9161196207149</v>
      </c>
      <c r="W11" s="10">
        <v>0.39583333333333331</v>
      </c>
      <c r="X11" s="4">
        <f t="shared" si="15"/>
        <v>1247.481127658205</v>
      </c>
      <c r="Y11" s="4">
        <f t="shared" si="16"/>
        <v>1157.040542735798</v>
      </c>
      <c r="Z11" s="4">
        <f t="shared" si="17"/>
        <v>1080.5912959841689</v>
      </c>
      <c r="AA11" s="4">
        <f t="shared" si="18"/>
        <v>1122.1819861630559</v>
      </c>
      <c r="AB11" s="4">
        <f t="shared" si="19"/>
        <v>1177.6681834293593</v>
      </c>
      <c r="AC11" s="4">
        <f t="shared" si="20"/>
        <v>1410.8731247895466</v>
      </c>
      <c r="AD11" s="4">
        <f t="shared" si="21"/>
        <v>756.82598084737253</v>
      </c>
      <c r="AG11" s="10">
        <v>0.39583333333333331</v>
      </c>
      <c r="AH11" s="4">
        <f t="shared" si="22"/>
        <v>1247.481127658205</v>
      </c>
      <c r="AI11" s="4">
        <f t="shared" si="2"/>
        <v>1157.040542735798</v>
      </c>
      <c r="AJ11" s="4">
        <f t="shared" si="3"/>
        <v>1080.5912959841689</v>
      </c>
      <c r="AK11" s="4">
        <f t="shared" si="4"/>
        <v>1122.1819861630559</v>
      </c>
      <c r="AL11" s="4">
        <f t="shared" si="5"/>
        <v>1177.6681834293593</v>
      </c>
      <c r="AM11" s="4">
        <f t="shared" si="6"/>
        <v>1410.8731247895466</v>
      </c>
      <c r="AN11" s="4">
        <f t="shared" si="7"/>
        <v>756.82598084737253</v>
      </c>
    </row>
    <row r="12" spans="1:40" ht="15.6" x14ac:dyDescent="0.3">
      <c r="A12" s="10">
        <v>0.40625</v>
      </c>
      <c r="B12" s="6">
        <v>1740.375</v>
      </c>
      <c r="C12" s="6">
        <v>1200</v>
      </c>
      <c r="D12" s="6">
        <v>1108.0999999999999</v>
      </c>
      <c r="E12" s="6">
        <v>1595</v>
      </c>
      <c r="F12" s="6">
        <v>1222.7</v>
      </c>
      <c r="G12" s="6">
        <v>1074.375</v>
      </c>
      <c r="H12" s="6">
        <v>1142.25</v>
      </c>
      <c r="K12" s="10">
        <v>0.40625</v>
      </c>
      <c r="L12" s="11">
        <f t="shared" si="8"/>
        <v>1.3813080603789576</v>
      </c>
      <c r="M12" s="11">
        <f t="shared" si="9"/>
        <v>0.98151281526690803</v>
      </c>
      <c r="N12" s="11">
        <f t="shared" si="10"/>
        <v>0.87767460525509167</v>
      </c>
      <c r="O12" s="11">
        <f t="shared" si="11"/>
        <v>1.2250129826436067</v>
      </c>
      <c r="P12" s="11">
        <f t="shared" si="12"/>
        <v>0.97322784821354857</v>
      </c>
      <c r="Q12" s="11">
        <f t="shared" si="13"/>
        <v>0.77830834718033948</v>
      </c>
      <c r="R12" s="11">
        <f t="shared" si="14"/>
        <v>0.9798991575617052</v>
      </c>
      <c r="T12" s="16">
        <v>45998</v>
      </c>
      <c r="U12" s="5">
        <v>1214.9202733485195</v>
      </c>
      <c r="W12" s="10">
        <v>0.40625</v>
      </c>
      <c r="X12" s="4">
        <f t="shared" si="15"/>
        <v>1667.8202170525435</v>
      </c>
      <c r="Y12" s="4">
        <f t="shared" si="16"/>
        <v>1149.9730003378882</v>
      </c>
      <c r="Z12" s="4">
        <f t="shared" si="17"/>
        <v>1061.9042347286781</v>
      </c>
      <c r="AA12" s="4">
        <f t="shared" si="18"/>
        <v>1528.5057796157764</v>
      </c>
      <c r="AB12" s="4">
        <f t="shared" si="19"/>
        <v>1171.7266562609468</v>
      </c>
      <c r="AC12" s="4">
        <f t="shared" si="20"/>
        <v>1029.5852018650155</v>
      </c>
      <c r="AD12" s="4">
        <f t="shared" si="21"/>
        <v>1094.6305496966272</v>
      </c>
      <c r="AG12" s="10">
        <v>0.40625</v>
      </c>
      <c r="AH12" s="4">
        <f t="shared" si="22"/>
        <v>1667.8202170525435</v>
      </c>
      <c r="AI12" s="4">
        <f t="shared" si="2"/>
        <v>1149.9730003378882</v>
      </c>
      <c r="AJ12" s="4">
        <f t="shared" si="3"/>
        <v>1061.9042347286781</v>
      </c>
      <c r="AK12" s="4">
        <f t="shared" si="4"/>
        <v>1528.5057796157764</v>
      </c>
      <c r="AL12" s="4">
        <f t="shared" si="5"/>
        <v>1171.7266562609468</v>
      </c>
      <c r="AM12" s="4">
        <f t="shared" si="6"/>
        <v>1029.5852018650155</v>
      </c>
      <c r="AN12" s="4">
        <f t="shared" si="7"/>
        <v>1094.6305496966272</v>
      </c>
    </row>
    <row r="13" spans="1:40" ht="15.6" x14ac:dyDescent="0.3">
      <c r="A13" s="10">
        <v>0.41666666666666669</v>
      </c>
      <c r="B13" s="6">
        <v>1003</v>
      </c>
      <c r="C13" s="6">
        <v>1058.375</v>
      </c>
      <c r="D13" s="6">
        <v>948.5</v>
      </c>
      <c r="E13" s="6">
        <v>1088</v>
      </c>
      <c r="F13" s="6">
        <v>1257.4000000000001</v>
      </c>
      <c r="G13" s="6">
        <v>923.625</v>
      </c>
      <c r="H13" s="6">
        <v>1412.25</v>
      </c>
      <c r="K13" s="10">
        <v>0.41666666666666669</v>
      </c>
      <c r="L13" s="11">
        <f t="shared" si="8"/>
        <v>0.79606520695832472</v>
      </c>
      <c r="M13" s="11">
        <f t="shared" si="9"/>
        <v>0.86567385488176141</v>
      </c>
      <c r="N13" s="11">
        <f t="shared" si="10"/>
        <v>0.75126284909706209</v>
      </c>
      <c r="O13" s="11">
        <f t="shared" si="11"/>
        <v>0.83562014113871108</v>
      </c>
      <c r="P13" s="11">
        <f t="shared" si="12"/>
        <v>1.0008478746574925</v>
      </c>
      <c r="Q13" s="11">
        <f t="shared" si="13"/>
        <v>0.66910068380634413</v>
      </c>
      <c r="R13" s="11">
        <f t="shared" si="14"/>
        <v>1.2115233839059034</v>
      </c>
      <c r="T13" s="17" t="s">
        <v>22</v>
      </c>
      <c r="U13" s="5">
        <v>1214.929433716911</v>
      </c>
      <c r="W13" s="10">
        <v>0.41666666666666669</v>
      </c>
      <c r="X13" s="4">
        <f t="shared" si="15"/>
        <v>961.18576611575145</v>
      </c>
      <c r="Y13" s="4">
        <f t="shared" si="16"/>
        <v>1014.2522285271768</v>
      </c>
      <c r="Z13" s="4">
        <f t="shared" si="17"/>
        <v>908.95782568373909</v>
      </c>
      <c r="AA13" s="4">
        <f t="shared" si="18"/>
        <v>1042.6421869730186</v>
      </c>
      <c r="AB13" s="4">
        <f t="shared" si="19"/>
        <v>1204.980042187384</v>
      </c>
      <c r="AC13" s="4">
        <f t="shared" si="20"/>
        <v>885.11984369756817</v>
      </c>
      <c r="AD13" s="4">
        <f t="shared" si="21"/>
        <v>1353.3744747726521</v>
      </c>
      <c r="AG13" s="10">
        <v>0.41666666666666669</v>
      </c>
      <c r="AH13" s="4">
        <f t="shared" si="22"/>
        <v>961.18576611575145</v>
      </c>
      <c r="AI13" s="4">
        <f t="shared" si="2"/>
        <v>1014.2522285271768</v>
      </c>
      <c r="AJ13" s="4">
        <f t="shared" si="3"/>
        <v>908.95782568373909</v>
      </c>
      <c r="AK13" s="4">
        <f t="shared" si="4"/>
        <v>1042.6421869730186</v>
      </c>
      <c r="AL13" s="4">
        <f t="shared" si="5"/>
        <v>1204.980042187384</v>
      </c>
      <c r="AM13" s="4">
        <f t="shared" si="6"/>
        <v>885.11984369756817</v>
      </c>
      <c r="AN13" s="4">
        <f t="shared" si="7"/>
        <v>1353.3744747726521</v>
      </c>
    </row>
    <row r="14" spans="1:40" ht="15.6" x14ac:dyDescent="0.3">
      <c r="A14" s="10">
        <v>0.42708333333333331</v>
      </c>
      <c r="B14" s="6">
        <v>1128.25</v>
      </c>
      <c r="C14" s="6">
        <v>1256.25</v>
      </c>
      <c r="D14" s="6">
        <v>1567.6</v>
      </c>
      <c r="E14" s="6">
        <v>1538</v>
      </c>
      <c r="F14" s="6">
        <v>1482.2</v>
      </c>
      <c r="G14" s="6">
        <v>1203.25</v>
      </c>
      <c r="H14" s="6">
        <v>811.625</v>
      </c>
      <c r="K14" s="10">
        <v>0.42708333333333331</v>
      </c>
      <c r="L14" s="11">
        <f t="shared" si="8"/>
        <v>0.89547414730880348</v>
      </c>
      <c r="M14" s="11">
        <f t="shared" si="9"/>
        <v>1.0275212284825443</v>
      </c>
      <c r="N14" s="11">
        <f t="shared" si="10"/>
        <v>1.2416232390559352</v>
      </c>
      <c r="O14" s="11">
        <f t="shared" si="11"/>
        <v>1.1812350892199794</v>
      </c>
      <c r="P14" s="11">
        <f t="shared" si="12"/>
        <v>1.1797810719081718</v>
      </c>
      <c r="Q14" s="11">
        <f t="shared" si="13"/>
        <v>0.87166912739475833</v>
      </c>
      <c r="R14" s="11">
        <f t="shared" si="14"/>
        <v>0.69626671372818472</v>
      </c>
      <c r="W14" s="10">
        <v>0.42708333333333331</v>
      </c>
      <c r="X14" s="4">
        <f t="shared" si="15"/>
        <v>1081.2141980260185</v>
      </c>
      <c r="Y14" s="4">
        <f t="shared" si="16"/>
        <v>1203.8779847287267</v>
      </c>
      <c r="Z14" s="4">
        <f t="shared" si="17"/>
        <v>1502.2480627747277</v>
      </c>
      <c r="AA14" s="4">
        <f t="shared" si="18"/>
        <v>1473.8820620997269</v>
      </c>
      <c r="AB14" s="4">
        <f t="shared" si="19"/>
        <v>1420.4083175840151</v>
      </c>
      <c r="AC14" s="4">
        <f t="shared" si="20"/>
        <v>1153.0875105471366</v>
      </c>
      <c r="AD14" s="4">
        <f t="shared" si="21"/>
        <v>777.78903033269876</v>
      </c>
      <c r="AG14" s="10">
        <v>0.42708333333333331</v>
      </c>
      <c r="AH14" s="4">
        <f t="shared" si="22"/>
        <v>1081.2141980260185</v>
      </c>
      <c r="AI14" s="4">
        <f t="shared" si="2"/>
        <v>1203.8779847287267</v>
      </c>
      <c r="AJ14" s="4">
        <f t="shared" si="3"/>
        <v>1502.2480627747277</v>
      </c>
      <c r="AK14" s="4">
        <f t="shared" si="4"/>
        <v>1473.8820620997269</v>
      </c>
      <c r="AL14" s="4">
        <f t="shared" si="5"/>
        <v>1420.4083175840151</v>
      </c>
      <c r="AM14" s="4">
        <f t="shared" si="6"/>
        <v>1153.0875105471366</v>
      </c>
      <c r="AN14" s="4">
        <f t="shared" si="7"/>
        <v>777.78903033269876</v>
      </c>
    </row>
    <row r="15" spans="1:40" ht="15.6" x14ac:dyDescent="0.3">
      <c r="A15" s="10">
        <v>0.4375</v>
      </c>
      <c r="B15" s="6">
        <v>1418.5</v>
      </c>
      <c r="C15" s="6">
        <v>1317.375</v>
      </c>
      <c r="D15" s="6">
        <v>1196.4000000000001</v>
      </c>
      <c r="E15" s="6">
        <v>1121.9000000000001</v>
      </c>
      <c r="F15" s="6">
        <v>1090.0999999999999</v>
      </c>
      <c r="G15" s="6">
        <v>1322.625</v>
      </c>
      <c r="H15" s="6">
        <v>1615.5</v>
      </c>
      <c r="K15" s="10">
        <v>0.4375</v>
      </c>
      <c r="L15" s="11">
        <f t="shared" si="8"/>
        <v>1.1258409731509309</v>
      </c>
      <c r="M15" s="11">
        <f t="shared" si="9"/>
        <v>1.0775170375102023</v>
      </c>
      <c r="N15" s="11">
        <f t="shared" si="10"/>
        <v>0.94761293901921473</v>
      </c>
      <c r="O15" s="11">
        <f t="shared" si="11"/>
        <v>0.8616564672275</v>
      </c>
      <c r="P15" s="11">
        <f t="shared" si="12"/>
        <v>0.86768273275340568</v>
      </c>
      <c r="Q15" s="11">
        <f t="shared" si="13"/>
        <v>0.95814783263701819</v>
      </c>
      <c r="R15" s="11">
        <f t="shared" si="14"/>
        <v>1.385884954292786</v>
      </c>
      <c r="W15" s="10">
        <v>0.4375</v>
      </c>
      <c r="X15" s="4">
        <f t="shared" si="15"/>
        <v>1359.3639174827454</v>
      </c>
      <c r="Y15" s="4">
        <f t="shared" si="16"/>
        <v>1262.4547344334376</v>
      </c>
      <c r="Z15" s="4">
        <f t="shared" si="17"/>
        <v>1146.5230813368746</v>
      </c>
      <c r="AA15" s="4">
        <f t="shared" si="18"/>
        <v>1075.128924232564</v>
      </c>
      <c r="AB15" s="4">
        <f t="shared" si="19"/>
        <v>1044.65463972361</v>
      </c>
      <c r="AC15" s="4">
        <f t="shared" si="20"/>
        <v>1267.485866309916</v>
      </c>
      <c r="AD15" s="4">
        <f t="shared" si="21"/>
        <v>1548.1511517048821</v>
      </c>
      <c r="AG15" s="10">
        <v>0.4375</v>
      </c>
      <c r="AH15" s="4">
        <f t="shared" si="22"/>
        <v>1359.3639174827454</v>
      </c>
      <c r="AI15" s="4">
        <f t="shared" si="2"/>
        <v>1262.4547344334376</v>
      </c>
      <c r="AJ15" s="4">
        <f t="shared" si="3"/>
        <v>1146.5230813368746</v>
      </c>
      <c r="AK15" s="4">
        <f t="shared" si="4"/>
        <v>1075.128924232564</v>
      </c>
      <c r="AL15" s="4">
        <f t="shared" si="5"/>
        <v>1044.65463972361</v>
      </c>
      <c r="AM15" s="4">
        <f t="shared" si="6"/>
        <v>1267.485866309916</v>
      </c>
      <c r="AN15" s="4">
        <f t="shared" si="7"/>
        <v>1548.1511517048821</v>
      </c>
    </row>
    <row r="16" spans="1:40" ht="15.6" x14ac:dyDescent="0.3">
      <c r="A16" s="10">
        <v>0.44791666666666669</v>
      </c>
      <c r="B16" s="6">
        <v>1415.875</v>
      </c>
      <c r="C16" s="6">
        <v>1081.375</v>
      </c>
      <c r="D16" s="6">
        <v>1265.0999999999999</v>
      </c>
      <c r="E16" s="6">
        <v>1267.8</v>
      </c>
      <c r="F16" s="6">
        <v>1212.7</v>
      </c>
      <c r="G16" s="6">
        <v>1229.125</v>
      </c>
      <c r="H16" s="6">
        <v>1050.625</v>
      </c>
      <c r="K16" s="10">
        <v>0.44791666666666669</v>
      </c>
      <c r="L16" s="11">
        <f t="shared" si="8"/>
        <v>1.123757552245382</v>
      </c>
      <c r="M16" s="11">
        <f t="shared" si="9"/>
        <v>0.88448618384104383</v>
      </c>
      <c r="N16" s="11">
        <f t="shared" si="10"/>
        <v>1.0020270220270884</v>
      </c>
      <c r="O16" s="11">
        <f t="shared" si="11"/>
        <v>0.97371251372762668</v>
      </c>
      <c r="P16" s="11">
        <f t="shared" si="12"/>
        <v>0.96526818641414103</v>
      </c>
      <c r="Q16" s="11">
        <f t="shared" si="13"/>
        <v>0.89041372633208582</v>
      </c>
      <c r="R16" s="11">
        <f t="shared" si="14"/>
        <v>0.90129704741804906</v>
      </c>
      <c r="W16" s="10">
        <v>0.44791666666666669</v>
      </c>
      <c r="X16" s="4">
        <f t="shared" si="15"/>
        <v>1356.8483515445062</v>
      </c>
      <c r="Y16" s="4">
        <f t="shared" si="16"/>
        <v>1036.2933777003198</v>
      </c>
      <c r="Z16" s="4">
        <f t="shared" si="17"/>
        <v>1212.3590356062186</v>
      </c>
      <c r="AA16" s="4">
        <f t="shared" si="18"/>
        <v>1214.946474856979</v>
      </c>
      <c r="AB16" s="4">
        <f t="shared" si="19"/>
        <v>1162.1435479247975</v>
      </c>
      <c r="AC16" s="4">
        <f t="shared" si="20"/>
        <v>1177.8838033669222</v>
      </c>
      <c r="AD16" s="4">
        <f t="shared" si="21"/>
        <v>1006.8253195666614</v>
      </c>
      <c r="AG16" s="10">
        <v>0.44791666666666669</v>
      </c>
      <c r="AH16" s="4">
        <f t="shared" si="22"/>
        <v>1356.8483515445062</v>
      </c>
      <c r="AI16" s="4">
        <f t="shared" si="2"/>
        <v>1036.2933777003198</v>
      </c>
      <c r="AJ16" s="4">
        <f t="shared" si="3"/>
        <v>1212.3590356062186</v>
      </c>
      <c r="AK16" s="4">
        <f t="shared" si="4"/>
        <v>1214.946474856979</v>
      </c>
      <c r="AL16" s="4">
        <f t="shared" si="5"/>
        <v>1162.1435479247975</v>
      </c>
      <c r="AM16" s="4">
        <f t="shared" si="6"/>
        <v>1177.8838033669222</v>
      </c>
      <c r="AN16" s="4">
        <f t="shared" si="7"/>
        <v>1006.8253195666614</v>
      </c>
    </row>
    <row r="17" spans="1:40" ht="15.6" x14ac:dyDescent="0.3">
      <c r="A17" s="10">
        <v>0.45833333333333331</v>
      </c>
      <c r="B17" s="6">
        <v>1233.375</v>
      </c>
      <c r="C17" s="6">
        <v>975.125</v>
      </c>
      <c r="D17" s="6">
        <v>967</v>
      </c>
      <c r="E17" s="6">
        <v>1123.5999999999999</v>
      </c>
      <c r="F17" s="6">
        <v>1035.2</v>
      </c>
      <c r="G17" s="6">
        <v>1142.375</v>
      </c>
      <c r="H17" s="6">
        <v>1033.875</v>
      </c>
      <c r="K17" s="10">
        <v>0.45833333333333331</v>
      </c>
      <c r="L17" s="11">
        <f t="shared" si="8"/>
        <v>0.97891019405007351</v>
      </c>
      <c r="M17" s="11">
        <f t="shared" si="9"/>
        <v>0.79758140332261973</v>
      </c>
      <c r="N17" s="11">
        <f t="shared" si="10"/>
        <v>0.76591584088229736</v>
      </c>
      <c r="O17" s="11">
        <f t="shared" si="11"/>
        <v>0.86296212369802905</v>
      </c>
      <c r="P17" s="11">
        <f t="shared" si="12"/>
        <v>0.8239841894746589</v>
      </c>
      <c r="Q17" s="11">
        <f t="shared" si="13"/>
        <v>0.82756951540210844</v>
      </c>
      <c r="R17" s="11">
        <f t="shared" si="14"/>
        <v>0.886927766709659</v>
      </c>
      <c r="W17" s="10">
        <v>0.45833333333333331</v>
      </c>
      <c r="X17" s="4">
        <f t="shared" si="15"/>
        <v>1181.9566244097855</v>
      </c>
      <c r="Y17" s="4">
        <f t="shared" si="16"/>
        <v>934.47285162873595</v>
      </c>
      <c r="Z17" s="4">
        <f t="shared" si="17"/>
        <v>926.68657610561479</v>
      </c>
      <c r="AA17" s="4">
        <f t="shared" si="18"/>
        <v>1076.7580526497093</v>
      </c>
      <c r="AB17" s="4">
        <f t="shared" si="19"/>
        <v>992.04337495815162</v>
      </c>
      <c r="AC17" s="4">
        <f t="shared" si="20"/>
        <v>1094.7503385508292</v>
      </c>
      <c r="AD17" s="4">
        <f t="shared" si="21"/>
        <v>990.77361310361175</v>
      </c>
      <c r="AG17" s="10">
        <v>0.45833333333333331</v>
      </c>
      <c r="AH17" s="4">
        <f t="shared" si="22"/>
        <v>1181.9566244097855</v>
      </c>
      <c r="AI17" s="4">
        <f t="shared" si="2"/>
        <v>934.47285162873595</v>
      </c>
      <c r="AJ17" s="4">
        <f t="shared" si="3"/>
        <v>926.68657610561479</v>
      </c>
      <c r="AK17" s="4">
        <f t="shared" si="4"/>
        <v>1076.7580526497093</v>
      </c>
      <c r="AL17" s="4">
        <f t="shared" si="5"/>
        <v>992.04337495815162</v>
      </c>
      <c r="AM17" s="4">
        <f t="shared" si="6"/>
        <v>1094.7503385508292</v>
      </c>
      <c r="AN17" s="4">
        <f t="shared" si="7"/>
        <v>990.77361310361175</v>
      </c>
    </row>
    <row r="18" spans="1:40" ht="15.6" x14ac:dyDescent="0.3">
      <c r="A18" s="10">
        <v>0.46875</v>
      </c>
      <c r="B18" s="6">
        <v>1003.375</v>
      </c>
      <c r="C18" s="6">
        <v>1097.25</v>
      </c>
      <c r="D18" s="6">
        <v>1454.7</v>
      </c>
      <c r="E18" s="6">
        <v>1203.0999999999999</v>
      </c>
      <c r="F18" s="6">
        <v>1286.2</v>
      </c>
      <c r="G18" s="6">
        <v>1169</v>
      </c>
      <c r="H18" s="6">
        <v>1198.375</v>
      </c>
      <c r="K18" s="10">
        <v>0.46875</v>
      </c>
      <c r="L18" s="11">
        <f t="shared" si="8"/>
        <v>0.79636283851626033</v>
      </c>
      <c r="M18" s="11">
        <f t="shared" si="9"/>
        <v>0.89747078045967899</v>
      </c>
      <c r="N18" s="11">
        <f t="shared" si="10"/>
        <v>1.1522003864854995</v>
      </c>
      <c r="O18" s="11">
        <f t="shared" si="11"/>
        <v>0.9240207645257198</v>
      </c>
      <c r="P18" s="11">
        <f t="shared" si="12"/>
        <v>1.0237717006397857</v>
      </c>
      <c r="Q18" s="11">
        <f t="shared" si="13"/>
        <v>0.84685743604776431</v>
      </c>
      <c r="R18" s="11">
        <f t="shared" si="14"/>
        <v>1.0280469712786242</v>
      </c>
      <c r="W18" s="10">
        <v>0.46875</v>
      </c>
      <c r="X18" s="4">
        <f t="shared" si="15"/>
        <v>961.54513267835716</v>
      </c>
      <c r="Y18" s="4">
        <f t="shared" si="16"/>
        <v>1051.5065621839565</v>
      </c>
      <c r="Z18" s="4">
        <f t="shared" si="17"/>
        <v>1394.054769659605</v>
      </c>
      <c r="AA18" s="4">
        <f t="shared" si="18"/>
        <v>1152.9437639220944</v>
      </c>
      <c r="AB18" s="4">
        <f t="shared" si="19"/>
        <v>1232.5793941954933</v>
      </c>
      <c r="AC18" s="4">
        <f t="shared" si="20"/>
        <v>1120.2653644958259</v>
      </c>
      <c r="AD18" s="4">
        <f t="shared" si="21"/>
        <v>1148.415745233264</v>
      </c>
      <c r="AG18" s="10">
        <v>0.46875</v>
      </c>
      <c r="AH18" s="4">
        <f t="shared" si="22"/>
        <v>961.54513267835716</v>
      </c>
      <c r="AI18" s="4">
        <f t="shared" si="2"/>
        <v>1051.5065621839565</v>
      </c>
      <c r="AJ18" s="4">
        <f t="shared" si="3"/>
        <v>1394.054769659605</v>
      </c>
      <c r="AK18" s="4">
        <f t="shared" si="4"/>
        <v>1152.9437639220944</v>
      </c>
      <c r="AL18" s="4">
        <f t="shared" si="5"/>
        <v>1232.5793941954933</v>
      </c>
      <c r="AM18" s="4">
        <f t="shared" si="6"/>
        <v>1120.2653644958259</v>
      </c>
      <c r="AN18" s="4">
        <f t="shared" si="7"/>
        <v>1148.415745233264</v>
      </c>
    </row>
    <row r="19" spans="1:40" ht="15.6" x14ac:dyDescent="0.3">
      <c r="A19" s="10">
        <v>0.47916666666666669</v>
      </c>
      <c r="B19" s="6">
        <v>1115.5</v>
      </c>
      <c r="C19" s="6">
        <v>920</v>
      </c>
      <c r="D19" s="6">
        <v>1161.0999999999999</v>
      </c>
      <c r="E19" s="6">
        <v>1242.7</v>
      </c>
      <c r="F19" s="6">
        <v>1514.8</v>
      </c>
      <c r="G19" s="6">
        <v>1362.375</v>
      </c>
      <c r="H19" s="6">
        <v>1527.125</v>
      </c>
      <c r="K19" s="10">
        <v>0.47916666666666669</v>
      </c>
      <c r="L19" s="11">
        <f t="shared" si="8"/>
        <v>0.88535467433899429</v>
      </c>
      <c r="M19" s="11">
        <f t="shared" si="9"/>
        <v>0.75249315837129616</v>
      </c>
      <c r="N19" s="11">
        <f t="shared" si="10"/>
        <v>0.91965344658576575</v>
      </c>
      <c r="O19" s="11">
        <f t="shared" si="11"/>
        <v>0.9544348799568716</v>
      </c>
      <c r="P19" s="11">
        <f t="shared" si="12"/>
        <v>1.20572956937424</v>
      </c>
      <c r="Q19" s="11">
        <f t="shared" si="13"/>
        <v>0.98694388317841997</v>
      </c>
      <c r="R19" s="11">
        <f t="shared" si="14"/>
        <v>1.3100709135403099</v>
      </c>
      <c r="W19" s="10">
        <v>0.47916666666666669</v>
      </c>
      <c r="X19" s="4">
        <f t="shared" si="15"/>
        <v>1068.9957348974285</v>
      </c>
      <c r="Y19" s="4">
        <f t="shared" si="16"/>
        <v>881.64596692571422</v>
      </c>
      <c r="Z19" s="4">
        <f t="shared" si="17"/>
        <v>1112.6947089102682</v>
      </c>
      <c r="AA19" s="4">
        <f t="shared" si="18"/>
        <v>1190.8928729332449</v>
      </c>
      <c r="AB19" s="4">
        <f t="shared" si="19"/>
        <v>1451.6492507598609</v>
      </c>
      <c r="AC19" s="4">
        <f t="shared" si="20"/>
        <v>1305.5787219461085</v>
      </c>
      <c r="AD19" s="4">
        <f t="shared" si="21"/>
        <v>1463.4604317841645</v>
      </c>
      <c r="AG19" s="10">
        <v>0.47916666666666669</v>
      </c>
      <c r="AH19" s="4">
        <f t="shared" si="22"/>
        <v>1068.9957348974285</v>
      </c>
      <c r="AI19" s="4">
        <f t="shared" si="2"/>
        <v>881.64596692571422</v>
      </c>
      <c r="AJ19" s="4">
        <f t="shared" si="3"/>
        <v>1112.6947089102682</v>
      </c>
      <c r="AK19" s="4">
        <f t="shared" si="4"/>
        <v>1190.8928729332449</v>
      </c>
      <c r="AL19" s="4">
        <f t="shared" si="5"/>
        <v>1451.6492507598609</v>
      </c>
      <c r="AM19" s="4">
        <f t="shared" si="6"/>
        <v>1305.5787219461085</v>
      </c>
      <c r="AN19" s="4">
        <f t="shared" si="7"/>
        <v>1463.4604317841645</v>
      </c>
    </row>
    <row r="20" spans="1:40" ht="15.6" x14ac:dyDescent="0.3">
      <c r="A20" s="10">
        <v>0.48958333333333331</v>
      </c>
      <c r="B20" s="6">
        <v>1059.625</v>
      </c>
      <c r="C20" s="6">
        <v>1096.25</v>
      </c>
      <c r="D20" s="6">
        <v>1184.7</v>
      </c>
      <c r="E20" s="6">
        <v>1426.3</v>
      </c>
      <c r="F20" s="6">
        <v>1324</v>
      </c>
      <c r="G20" s="6">
        <v>1653.75</v>
      </c>
      <c r="H20" s="6">
        <v>1183.125</v>
      </c>
      <c r="K20" s="10">
        <v>0.48958333333333331</v>
      </c>
      <c r="L20" s="11">
        <f t="shared" si="8"/>
        <v>0.84100757220659506</v>
      </c>
      <c r="M20" s="11">
        <f t="shared" si="9"/>
        <v>0.89665285311362319</v>
      </c>
      <c r="N20" s="11">
        <f t="shared" si="10"/>
        <v>0.93834591178206594</v>
      </c>
      <c r="O20" s="11">
        <f t="shared" si="11"/>
        <v>1.095445778774029</v>
      </c>
      <c r="P20" s="11">
        <f t="shared" si="12"/>
        <v>1.0538592222415459</v>
      </c>
      <c r="Q20" s="11">
        <f t="shared" si="13"/>
        <v>1.1980243668639781</v>
      </c>
      <c r="R20" s="11">
        <f t="shared" si="14"/>
        <v>1.0149644918277019</v>
      </c>
      <c r="W20" s="10">
        <v>0.48958333333333331</v>
      </c>
      <c r="X20" s="4">
        <f t="shared" si="15"/>
        <v>1015.4501170691956</v>
      </c>
      <c r="Y20" s="4">
        <f t="shared" si="16"/>
        <v>1050.5482513503414</v>
      </c>
      <c r="Z20" s="4">
        <f t="shared" si="17"/>
        <v>1135.3108445835801</v>
      </c>
      <c r="AA20" s="4">
        <f t="shared" si="18"/>
        <v>1366.8387419849416</v>
      </c>
      <c r="AB20" s="4">
        <f t="shared" si="19"/>
        <v>1268.8035437061367</v>
      </c>
      <c r="AC20" s="4">
        <f t="shared" si="20"/>
        <v>1584.8065410906522</v>
      </c>
      <c r="AD20" s="4">
        <f t="shared" si="21"/>
        <v>1133.8015050206366</v>
      </c>
      <c r="AG20" s="10">
        <v>0.48958333333333331</v>
      </c>
      <c r="AH20" s="4">
        <f t="shared" si="22"/>
        <v>1015.4501170691956</v>
      </c>
      <c r="AI20" s="4">
        <f t="shared" si="2"/>
        <v>1050.5482513503414</v>
      </c>
      <c r="AJ20" s="4">
        <f t="shared" si="3"/>
        <v>1135.3108445835801</v>
      </c>
      <c r="AK20" s="4">
        <f t="shared" si="4"/>
        <v>1366.8387419849416</v>
      </c>
      <c r="AL20" s="4">
        <f t="shared" si="5"/>
        <v>1268.8035437061367</v>
      </c>
      <c r="AM20" s="4">
        <f t="shared" si="6"/>
        <v>1584.8065410906522</v>
      </c>
      <c r="AN20" s="4">
        <f t="shared" si="7"/>
        <v>1133.8015050206366</v>
      </c>
    </row>
    <row r="21" spans="1:40" ht="15.6" x14ac:dyDescent="0.3">
      <c r="A21" s="10">
        <v>0.5</v>
      </c>
      <c r="B21" s="6">
        <v>952.75</v>
      </c>
      <c r="C21" s="6">
        <v>927.5</v>
      </c>
      <c r="D21" s="6">
        <v>1181</v>
      </c>
      <c r="E21" s="6">
        <v>1130.7</v>
      </c>
      <c r="F21" s="6">
        <v>1242.4000000000001</v>
      </c>
      <c r="G21" s="6">
        <v>1216.5</v>
      </c>
      <c r="H21" s="6">
        <v>912.625</v>
      </c>
      <c r="K21" s="10">
        <v>0.5</v>
      </c>
      <c r="L21" s="11">
        <f t="shared" si="8"/>
        <v>0.75618257819495904</v>
      </c>
      <c r="M21" s="11">
        <f t="shared" si="9"/>
        <v>0.75862761346671426</v>
      </c>
      <c r="N21" s="11">
        <f t="shared" si="10"/>
        <v>0.93541531342501882</v>
      </c>
      <c r="O21" s="11">
        <f t="shared" si="11"/>
        <v>0.86841515954553361</v>
      </c>
      <c r="P21" s="11">
        <f t="shared" si="12"/>
        <v>0.98890838195838127</v>
      </c>
      <c r="Q21" s="11">
        <f t="shared" si="13"/>
        <v>0.88126781090855888</v>
      </c>
      <c r="R21" s="11">
        <f t="shared" si="14"/>
        <v>0.78291133173101446</v>
      </c>
      <c r="W21" s="10">
        <v>0.5</v>
      </c>
      <c r="X21" s="4">
        <f t="shared" si="15"/>
        <v>913.03064672660241</v>
      </c>
      <c r="Y21" s="4">
        <f t="shared" si="16"/>
        <v>888.83329817782601</v>
      </c>
      <c r="Z21" s="4">
        <f t="shared" si="17"/>
        <v>1131.7650944992049</v>
      </c>
      <c r="AA21" s="4">
        <f t="shared" si="18"/>
        <v>1083.5620595683752</v>
      </c>
      <c r="AB21" s="4">
        <f t="shared" si="19"/>
        <v>1190.6053796831604</v>
      </c>
      <c r="AC21" s="4">
        <f t="shared" si="20"/>
        <v>1165.7851290925341</v>
      </c>
      <c r="AD21" s="4">
        <f t="shared" si="21"/>
        <v>874.57842452780437</v>
      </c>
      <c r="AG21" s="10">
        <v>0.5</v>
      </c>
      <c r="AH21" s="4">
        <f t="shared" si="22"/>
        <v>913.03064672660241</v>
      </c>
      <c r="AI21" s="4">
        <f t="shared" si="2"/>
        <v>888.83329817782601</v>
      </c>
      <c r="AJ21" s="4">
        <f t="shared" si="3"/>
        <v>1131.7650944992049</v>
      </c>
      <c r="AK21" s="4">
        <f t="shared" si="4"/>
        <v>1083.5620595683752</v>
      </c>
      <c r="AL21" s="4">
        <f t="shared" si="5"/>
        <v>1190.6053796831604</v>
      </c>
      <c r="AM21" s="4">
        <f t="shared" si="6"/>
        <v>1165.7851290925341</v>
      </c>
      <c r="AN21" s="4">
        <f t="shared" si="7"/>
        <v>874.57842452780437</v>
      </c>
    </row>
    <row r="22" spans="1:40" ht="15.6" x14ac:dyDescent="0.3">
      <c r="A22" s="10">
        <v>0.51041666666666663</v>
      </c>
      <c r="B22" s="6">
        <v>1133</v>
      </c>
      <c r="C22" s="6">
        <v>1400</v>
      </c>
      <c r="D22" s="6">
        <v>1862.7</v>
      </c>
      <c r="E22" s="6">
        <v>1941.5</v>
      </c>
      <c r="F22" s="6">
        <v>1208.2</v>
      </c>
      <c r="G22" s="6">
        <v>1686.75</v>
      </c>
      <c r="H22" s="6">
        <v>1326.75</v>
      </c>
      <c r="K22" s="10">
        <v>0.51041666666666663</v>
      </c>
      <c r="L22" s="11">
        <f t="shared" si="8"/>
        <v>0.89924414704265399</v>
      </c>
      <c r="M22" s="11">
        <f t="shared" si="9"/>
        <v>1.1450982844780593</v>
      </c>
      <c r="N22" s="11">
        <f t="shared" si="10"/>
        <v>1.4753582593706882</v>
      </c>
      <c r="O22" s="11">
        <f t="shared" si="11"/>
        <v>1.4911364926661834</v>
      </c>
      <c r="P22" s="11">
        <f t="shared" si="12"/>
        <v>0.96168633860440778</v>
      </c>
      <c r="Q22" s="11">
        <f t="shared" si="13"/>
        <v>1.2219305220304246</v>
      </c>
      <c r="R22" s="11">
        <f t="shared" si="14"/>
        <v>1.1381757122302407</v>
      </c>
      <c r="W22" s="10">
        <v>0.51041666666666663</v>
      </c>
      <c r="X22" s="4">
        <f t="shared" si="15"/>
        <v>1085.7661744856894</v>
      </c>
      <c r="Y22" s="4">
        <f t="shared" si="16"/>
        <v>1341.6351670608694</v>
      </c>
      <c r="Z22" s="4">
        <f t="shared" si="17"/>
        <v>1785.0455897744871</v>
      </c>
      <c r="AA22" s="4">
        <f t="shared" si="18"/>
        <v>1860.5604834633418</v>
      </c>
      <c r="AB22" s="4">
        <f t="shared" si="19"/>
        <v>1157.8311491735305</v>
      </c>
      <c r="AC22" s="4">
        <f t="shared" si="20"/>
        <v>1616.430798599944</v>
      </c>
      <c r="AD22" s="4">
        <f t="shared" si="21"/>
        <v>1271.4388984985776</v>
      </c>
      <c r="AG22" s="10">
        <v>0.51041666666666663</v>
      </c>
      <c r="AH22" s="4">
        <f t="shared" si="22"/>
        <v>1085.7661744856894</v>
      </c>
      <c r="AI22" s="4">
        <f t="shared" si="2"/>
        <v>1341.6351670608694</v>
      </c>
      <c r="AJ22" s="4">
        <f t="shared" si="3"/>
        <v>1785.0455897744871</v>
      </c>
      <c r="AK22" s="4">
        <f t="shared" si="4"/>
        <v>1860.5604834633418</v>
      </c>
      <c r="AL22" s="4">
        <f t="shared" si="5"/>
        <v>1157.8311491735305</v>
      </c>
      <c r="AM22" s="4">
        <f t="shared" si="6"/>
        <v>1616.430798599944</v>
      </c>
      <c r="AN22" s="4">
        <f t="shared" si="7"/>
        <v>1271.4388984985776</v>
      </c>
    </row>
    <row r="23" spans="1:40" ht="15.6" x14ac:dyDescent="0.3">
      <c r="A23" s="10">
        <v>0.52083333333333337</v>
      </c>
      <c r="B23" s="6">
        <v>1570</v>
      </c>
      <c r="C23" s="6">
        <v>1309.375</v>
      </c>
      <c r="D23" s="6">
        <v>1768.7</v>
      </c>
      <c r="E23" s="6">
        <v>1994.3</v>
      </c>
      <c r="F23" s="6">
        <v>1252</v>
      </c>
      <c r="G23" s="6">
        <v>1508.125</v>
      </c>
      <c r="H23" s="6">
        <v>937.25</v>
      </c>
      <c r="K23" s="10">
        <v>0.52083333333333337</v>
      </c>
      <c r="L23" s="11">
        <f t="shared" si="8"/>
        <v>1.246084122556899</v>
      </c>
      <c r="M23" s="11">
        <f t="shared" si="9"/>
        <v>1.0709736187417565</v>
      </c>
      <c r="N23" s="11">
        <f t="shared" si="10"/>
        <v>1.4009052200294927</v>
      </c>
      <c r="O23" s="11">
        <f t="shared" si="11"/>
        <v>1.5316886465743855</v>
      </c>
      <c r="P23" s="11">
        <f t="shared" si="12"/>
        <v>0.99654965728581235</v>
      </c>
      <c r="Q23" s="11">
        <f t="shared" si="13"/>
        <v>1.0925294018302263</v>
      </c>
      <c r="R23" s="11">
        <f t="shared" si="14"/>
        <v>0.80403631904111028</v>
      </c>
      <c r="W23" s="10">
        <v>0.52083333333333337</v>
      </c>
      <c r="X23" s="4">
        <f t="shared" si="15"/>
        <v>1504.5480087754036</v>
      </c>
      <c r="Y23" s="4">
        <f t="shared" si="16"/>
        <v>1254.7882477645187</v>
      </c>
      <c r="Z23" s="4">
        <f t="shared" si="17"/>
        <v>1694.9643714146857</v>
      </c>
      <c r="AA23" s="4">
        <f t="shared" si="18"/>
        <v>1911.1592954782088</v>
      </c>
      <c r="AB23" s="4">
        <f t="shared" si="19"/>
        <v>1199.8051636858634</v>
      </c>
      <c r="AC23" s="4">
        <f t="shared" si="20"/>
        <v>1445.2525259454812</v>
      </c>
      <c r="AD23" s="4">
        <f t="shared" si="21"/>
        <v>898.1768288055714</v>
      </c>
      <c r="AG23" s="10">
        <v>0.52083333333333337</v>
      </c>
      <c r="AH23" s="4">
        <f t="shared" si="22"/>
        <v>1504.5480087754036</v>
      </c>
      <c r="AI23" s="4">
        <f t="shared" si="2"/>
        <v>1254.7882477645187</v>
      </c>
      <c r="AJ23" s="4">
        <f t="shared" si="3"/>
        <v>1694.9643714146857</v>
      </c>
      <c r="AK23" s="4">
        <f t="shared" si="4"/>
        <v>1911.1592954782088</v>
      </c>
      <c r="AL23" s="4">
        <f t="shared" si="5"/>
        <v>1199.8051636858634</v>
      </c>
      <c r="AM23" s="4">
        <f t="shared" si="6"/>
        <v>1445.2525259454812</v>
      </c>
      <c r="AN23" s="4">
        <f t="shared" si="7"/>
        <v>898.1768288055714</v>
      </c>
    </row>
    <row r="24" spans="1:40" ht="15.6" x14ac:dyDescent="0.3">
      <c r="A24" s="10">
        <v>0.53125</v>
      </c>
      <c r="B24" s="6">
        <v>2206.625</v>
      </c>
      <c r="C24" s="6">
        <v>1004.875</v>
      </c>
      <c r="D24" s="6">
        <v>1231.0999999999999</v>
      </c>
      <c r="E24" s="6">
        <v>1437.5</v>
      </c>
      <c r="F24" s="6">
        <v>1380.1</v>
      </c>
      <c r="G24" s="6">
        <v>1318.25</v>
      </c>
      <c r="H24" s="6">
        <v>1470.875</v>
      </c>
      <c r="K24" s="10">
        <v>0.53125</v>
      </c>
      <c r="L24" s="11">
        <f t="shared" si="8"/>
        <v>1.7513632974121769</v>
      </c>
      <c r="M24" s="11">
        <f t="shared" si="9"/>
        <v>0.82191474186777846</v>
      </c>
      <c r="N24" s="11">
        <f t="shared" si="10"/>
        <v>0.97509719928665595</v>
      </c>
      <c r="O24" s="11">
        <f t="shared" si="11"/>
        <v>1.1040477508151627</v>
      </c>
      <c r="P24" s="11">
        <f t="shared" si="12"/>
        <v>1.0985129249362215</v>
      </c>
      <c r="Q24" s="11">
        <f t="shared" si="13"/>
        <v>0.95497845600510289</v>
      </c>
      <c r="R24" s="11">
        <f t="shared" si="14"/>
        <v>1.2618158663852688</v>
      </c>
      <c r="W24" s="10">
        <v>0.53125</v>
      </c>
      <c r="X24" s="4">
        <f t="shared" si="15"/>
        <v>2114.6326432254937</v>
      </c>
      <c r="Y24" s="4">
        <f t="shared" si="16"/>
        <v>962.98259892877945</v>
      </c>
      <c r="Z24" s="4">
        <f t="shared" si="17"/>
        <v>1179.7764672633118</v>
      </c>
      <c r="AA24" s="4">
        <f t="shared" si="18"/>
        <v>1377.5718233214286</v>
      </c>
      <c r="AB24" s="4">
        <f t="shared" si="19"/>
        <v>1322.5647814719327</v>
      </c>
      <c r="AC24" s="4">
        <f t="shared" si="20"/>
        <v>1263.2932564128507</v>
      </c>
      <c r="AD24" s="4">
        <f t="shared" si="21"/>
        <v>1409.5554473933262</v>
      </c>
      <c r="AG24" s="10">
        <v>0.53125</v>
      </c>
      <c r="AH24" s="4">
        <f t="shared" si="22"/>
        <v>2114.6326432254937</v>
      </c>
      <c r="AI24" s="4">
        <f t="shared" si="2"/>
        <v>962.98259892877945</v>
      </c>
      <c r="AJ24" s="4">
        <f t="shared" si="3"/>
        <v>1179.7764672633118</v>
      </c>
      <c r="AK24" s="4">
        <f t="shared" si="4"/>
        <v>1377.5718233214286</v>
      </c>
      <c r="AL24" s="4">
        <f t="shared" si="5"/>
        <v>1322.5647814719327</v>
      </c>
      <c r="AM24" s="4">
        <f t="shared" si="6"/>
        <v>1263.2932564128507</v>
      </c>
      <c r="AN24" s="4">
        <f t="shared" si="7"/>
        <v>1409.5554473933262</v>
      </c>
    </row>
    <row r="25" spans="1:40" ht="15.6" x14ac:dyDescent="0.3">
      <c r="A25" s="10">
        <v>0.54166666666666663</v>
      </c>
      <c r="B25" s="6">
        <v>1493</v>
      </c>
      <c r="C25" s="6">
        <v>1458.875</v>
      </c>
      <c r="D25" s="6">
        <v>1031.5999999999999</v>
      </c>
      <c r="E25" s="6">
        <v>1063.0999999999999</v>
      </c>
      <c r="F25" s="6">
        <v>1254.5999999999999</v>
      </c>
      <c r="G25" s="6">
        <v>1310.75</v>
      </c>
      <c r="H25" s="6">
        <v>1063</v>
      </c>
      <c r="K25" s="10">
        <v>0.54166666666666663</v>
      </c>
      <c r="L25" s="11">
        <f t="shared" si="8"/>
        <v>1.1849704426607965</v>
      </c>
      <c r="M25" s="11">
        <f t="shared" si="9"/>
        <v>1.193253756977092</v>
      </c>
      <c r="N25" s="11">
        <f t="shared" si="10"/>
        <v>0.81708250408911887</v>
      </c>
      <c r="O25" s="11">
        <f t="shared" si="11"/>
        <v>0.81649611401154742</v>
      </c>
      <c r="P25" s="11">
        <f t="shared" si="12"/>
        <v>0.99861916935365813</v>
      </c>
      <c r="Q25" s="11">
        <f t="shared" si="13"/>
        <v>0.94954523892181963</v>
      </c>
      <c r="R25" s="11">
        <f t="shared" si="14"/>
        <v>0.9119131577921582</v>
      </c>
      <c r="W25" s="10">
        <v>0.54166666666666663</v>
      </c>
      <c r="X25" s="4">
        <f t="shared" si="15"/>
        <v>1430.7580745870559</v>
      </c>
      <c r="Y25" s="4">
        <f t="shared" si="16"/>
        <v>1398.0557173899472</v>
      </c>
      <c r="Z25" s="4">
        <f t="shared" si="17"/>
        <v>988.59345595713785</v>
      </c>
      <c r="AA25" s="4">
        <f t="shared" si="18"/>
        <v>1018.7802472160074</v>
      </c>
      <c r="AB25" s="4">
        <f t="shared" si="19"/>
        <v>1202.296771853262</v>
      </c>
      <c r="AC25" s="4">
        <f t="shared" si="20"/>
        <v>1256.1059251607392</v>
      </c>
      <c r="AD25" s="4">
        <f t="shared" si="21"/>
        <v>1018.684416132646</v>
      </c>
      <c r="AG25" s="10">
        <v>0.54166666666666663</v>
      </c>
      <c r="AH25" s="4">
        <f t="shared" si="22"/>
        <v>1430.7580745870559</v>
      </c>
      <c r="AI25" s="4">
        <f t="shared" si="2"/>
        <v>1398.0557173899472</v>
      </c>
      <c r="AJ25" s="4">
        <f t="shared" si="3"/>
        <v>988.59345595713785</v>
      </c>
      <c r="AK25" s="4">
        <f t="shared" si="4"/>
        <v>1018.7802472160074</v>
      </c>
      <c r="AL25" s="4">
        <f t="shared" si="5"/>
        <v>1202.296771853262</v>
      </c>
      <c r="AM25" s="4">
        <f t="shared" si="6"/>
        <v>1256.1059251607392</v>
      </c>
      <c r="AN25" s="4">
        <f t="shared" si="7"/>
        <v>1018.684416132646</v>
      </c>
    </row>
    <row r="26" spans="1:40" ht="15.6" x14ac:dyDescent="0.3">
      <c r="A26" s="10">
        <v>0.55208333333333337</v>
      </c>
      <c r="B26" s="6">
        <v>1158.75</v>
      </c>
      <c r="C26" s="6">
        <v>1602.875</v>
      </c>
      <c r="D26" s="6">
        <v>877.7</v>
      </c>
      <c r="E26" s="6">
        <v>840</v>
      </c>
      <c r="F26" s="6">
        <v>1152.5</v>
      </c>
      <c r="G26" s="6">
        <v>1656.875</v>
      </c>
      <c r="H26" s="6">
        <v>851</v>
      </c>
      <c r="K26" s="10">
        <v>0.55208333333333337</v>
      </c>
      <c r="L26" s="11">
        <f t="shared" si="8"/>
        <v>0.91968151402089615</v>
      </c>
      <c r="M26" s="11">
        <f t="shared" si="9"/>
        <v>1.3110352948091211</v>
      </c>
      <c r="N26" s="11">
        <f t="shared" si="10"/>
        <v>0.69518545350816185</v>
      </c>
      <c r="O26" s="11">
        <f t="shared" si="11"/>
        <v>0.64514790308503422</v>
      </c>
      <c r="P26" s="11">
        <f t="shared" si="12"/>
        <v>0.91735102238170818</v>
      </c>
      <c r="Q26" s="11">
        <f t="shared" si="13"/>
        <v>1.200288207315346</v>
      </c>
      <c r="R26" s="11">
        <f t="shared" si="14"/>
        <v>0.73004524673671367</v>
      </c>
      <c r="W26" s="10">
        <v>0.55208333333333337</v>
      </c>
      <c r="X26" s="4">
        <f t="shared" si="15"/>
        <v>1110.4426784512732</v>
      </c>
      <c r="Y26" s="4">
        <f t="shared" si="16"/>
        <v>1536.0524774304938</v>
      </c>
      <c r="Z26" s="4">
        <f t="shared" si="17"/>
        <v>841.10941866380381</v>
      </c>
      <c r="AA26" s="4">
        <f t="shared" si="18"/>
        <v>804.98110023652168</v>
      </c>
      <c r="AB26" s="4">
        <f t="shared" si="19"/>
        <v>1104.4532357411802</v>
      </c>
      <c r="AC26" s="4">
        <f t="shared" si="20"/>
        <v>1587.8012624456985</v>
      </c>
      <c r="AD26" s="4">
        <f t="shared" si="21"/>
        <v>815.52251940628571</v>
      </c>
      <c r="AG26" s="10">
        <v>0.55208333333333337</v>
      </c>
      <c r="AH26" s="4">
        <f t="shared" si="22"/>
        <v>1110.4426784512732</v>
      </c>
      <c r="AI26" s="4">
        <f t="shared" si="2"/>
        <v>1536.0524774304938</v>
      </c>
      <c r="AJ26" s="4">
        <f t="shared" si="3"/>
        <v>841.10941866380381</v>
      </c>
      <c r="AK26" s="4">
        <f t="shared" si="4"/>
        <v>804.98110023652168</v>
      </c>
      <c r="AL26" s="4">
        <f t="shared" si="5"/>
        <v>1104.4532357411802</v>
      </c>
      <c r="AM26" s="4">
        <f t="shared" si="6"/>
        <v>1587.8012624456985</v>
      </c>
      <c r="AN26" s="4">
        <f t="shared" si="7"/>
        <v>815.52251940628571</v>
      </c>
    </row>
    <row r="27" spans="1:40" ht="15.6" x14ac:dyDescent="0.3">
      <c r="A27" s="10">
        <v>0.5625</v>
      </c>
      <c r="B27" s="6">
        <v>1151</v>
      </c>
      <c r="C27" s="6">
        <v>1128.625</v>
      </c>
      <c r="D27" s="6">
        <v>1062.5</v>
      </c>
      <c r="E27" s="6">
        <v>1019.9</v>
      </c>
      <c r="F27" s="6">
        <v>1127.7</v>
      </c>
      <c r="G27" s="6">
        <v>1400.375</v>
      </c>
      <c r="H27" s="6">
        <v>1008.625</v>
      </c>
      <c r="K27" s="10">
        <v>0.5625</v>
      </c>
      <c r="L27" s="11">
        <f t="shared" si="8"/>
        <v>0.91353046182356112</v>
      </c>
      <c r="M27" s="11">
        <f t="shared" si="9"/>
        <v>0.92313325094217835</v>
      </c>
      <c r="N27" s="11">
        <f t="shared" si="10"/>
        <v>0.84155696063851193</v>
      </c>
      <c r="O27" s="11">
        <f t="shared" si="11"/>
        <v>0.78331707899574576</v>
      </c>
      <c r="P27" s="11">
        <f t="shared" si="12"/>
        <v>0.89761106111917777</v>
      </c>
      <c r="Q27" s="11">
        <f t="shared" si="13"/>
        <v>1.0144721830670556</v>
      </c>
      <c r="R27" s="11">
        <f t="shared" si="14"/>
        <v>0.86526661220895151</v>
      </c>
      <c r="W27" s="10">
        <v>0.5625</v>
      </c>
      <c r="X27" s="4">
        <f t="shared" si="15"/>
        <v>1103.0157694907577</v>
      </c>
      <c r="Y27" s="4">
        <f t="shared" si="16"/>
        <v>1081.5735645886241</v>
      </c>
      <c r="Z27" s="4">
        <f t="shared" si="17"/>
        <v>1018.2052607158386</v>
      </c>
      <c r="AA27" s="4">
        <f t="shared" si="18"/>
        <v>977.38121920384356</v>
      </c>
      <c r="AB27" s="4">
        <f t="shared" si="19"/>
        <v>1080.6871270675306</v>
      </c>
      <c r="AC27" s="4">
        <f t="shared" si="20"/>
        <v>1341.994533623475</v>
      </c>
      <c r="AD27" s="4">
        <f t="shared" si="21"/>
        <v>966.57626455483535</v>
      </c>
      <c r="AG27" s="10">
        <v>0.5625</v>
      </c>
      <c r="AH27" s="4">
        <f t="shared" si="22"/>
        <v>1103.0157694907577</v>
      </c>
      <c r="AI27" s="4">
        <f t="shared" si="2"/>
        <v>1081.5735645886241</v>
      </c>
      <c r="AJ27" s="4">
        <f t="shared" si="3"/>
        <v>1018.2052607158386</v>
      </c>
      <c r="AK27" s="4">
        <f t="shared" si="4"/>
        <v>977.38121920384356</v>
      </c>
      <c r="AL27" s="4">
        <f t="shared" si="5"/>
        <v>1080.6871270675306</v>
      </c>
      <c r="AM27" s="4">
        <f t="shared" si="6"/>
        <v>1341.994533623475</v>
      </c>
      <c r="AN27" s="4">
        <f t="shared" si="7"/>
        <v>966.57626455483535</v>
      </c>
    </row>
    <row r="28" spans="1:40" ht="15.6" x14ac:dyDescent="0.3">
      <c r="A28" s="10">
        <v>0.57291666666666663</v>
      </c>
      <c r="B28" s="6">
        <v>1149.375</v>
      </c>
      <c r="C28" s="6">
        <v>1236.875</v>
      </c>
      <c r="D28" s="6">
        <v>1108.5</v>
      </c>
      <c r="E28" s="6">
        <v>1204.7</v>
      </c>
      <c r="F28" s="6">
        <v>1209</v>
      </c>
      <c r="G28" s="6">
        <v>1263</v>
      </c>
      <c r="H28" s="6">
        <v>1155.5</v>
      </c>
      <c r="K28" s="10">
        <v>0.57291666666666663</v>
      </c>
      <c r="L28" s="11">
        <f t="shared" si="8"/>
        <v>0.91224072507250697</v>
      </c>
      <c r="M28" s="11">
        <f t="shared" si="9"/>
        <v>1.0116738861527139</v>
      </c>
      <c r="N28" s="11">
        <f t="shared" si="10"/>
        <v>0.87799142669909691</v>
      </c>
      <c r="O28" s="11">
        <f t="shared" si="11"/>
        <v>0.92524961767445335</v>
      </c>
      <c r="P28" s="11">
        <f t="shared" si="12"/>
        <v>0.96232311154836025</v>
      </c>
      <c r="Q28" s="11">
        <f t="shared" si="13"/>
        <v>0.91495375682491564</v>
      </c>
      <c r="R28" s="11">
        <f t="shared" si="14"/>
        <v>0.99126590200267051</v>
      </c>
      <c r="W28" s="10">
        <v>0.57291666666666663</v>
      </c>
      <c r="X28" s="4">
        <f t="shared" si="15"/>
        <v>1101.4585143861334</v>
      </c>
      <c r="Y28" s="4">
        <f t="shared" si="16"/>
        <v>1185.3107123274376</v>
      </c>
      <c r="Z28" s="4">
        <f t="shared" si="17"/>
        <v>1062.2875590621243</v>
      </c>
      <c r="AA28" s="4">
        <f t="shared" si="18"/>
        <v>1154.4770612558784</v>
      </c>
      <c r="AB28" s="4">
        <f t="shared" si="19"/>
        <v>1158.5977978404223</v>
      </c>
      <c r="AC28" s="4">
        <f t="shared" si="20"/>
        <v>1210.3465828556273</v>
      </c>
      <c r="AD28" s="4">
        <f t="shared" si="21"/>
        <v>1107.3281682420247</v>
      </c>
      <c r="AG28" s="10">
        <v>0.57291666666666663</v>
      </c>
      <c r="AH28" s="4">
        <f t="shared" si="22"/>
        <v>1101.4585143861334</v>
      </c>
      <c r="AI28" s="4">
        <f t="shared" si="2"/>
        <v>1185.3107123274376</v>
      </c>
      <c r="AJ28" s="4">
        <f t="shared" si="3"/>
        <v>1062.2875590621243</v>
      </c>
      <c r="AK28" s="4">
        <f t="shared" si="4"/>
        <v>1154.4770612558784</v>
      </c>
      <c r="AL28" s="4">
        <f t="shared" si="5"/>
        <v>1158.5977978404223</v>
      </c>
      <c r="AM28" s="4">
        <f t="shared" si="6"/>
        <v>1210.3465828556273</v>
      </c>
      <c r="AN28" s="4">
        <f t="shared" si="7"/>
        <v>1107.3281682420247</v>
      </c>
    </row>
    <row r="29" spans="1:40" ht="15.6" x14ac:dyDescent="0.3">
      <c r="A29" s="10">
        <v>0.58333333333333337</v>
      </c>
      <c r="B29" s="6">
        <v>1178.25</v>
      </c>
      <c r="C29" s="6">
        <v>1106</v>
      </c>
      <c r="D29" s="6">
        <v>1157.7</v>
      </c>
      <c r="E29" s="6">
        <v>1252.5999999999999</v>
      </c>
      <c r="F29" s="6">
        <v>1110.3</v>
      </c>
      <c r="G29" s="6">
        <v>2113.75</v>
      </c>
      <c r="H29" s="6">
        <v>1110.75</v>
      </c>
      <c r="K29" s="10">
        <v>0.58333333333333337</v>
      </c>
      <c r="L29" s="11">
        <f t="shared" si="8"/>
        <v>0.9351583550335455</v>
      </c>
      <c r="M29" s="11">
        <f t="shared" si="9"/>
        <v>0.90462764473766688</v>
      </c>
      <c r="N29" s="11">
        <f t="shared" si="10"/>
        <v>0.91696046431172262</v>
      </c>
      <c r="O29" s="11">
        <f t="shared" si="11"/>
        <v>0.96203840881465941</v>
      </c>
      <c r="P29" s="11">
        <f t="shared" si="12"/>
        <v>0.88376124958820879</v>
      </c>
      <c r="Q29" s="11">
        <f t="shared" si="13"/>
        <v>1.5312616813053566</v>
      </c>
      <c r="R29" s="11">
        <f t="shared" si="14"/>
        <v>0.95287633115488213</v>
      </c>
      <c r="W29" s="10">
        <v>0.58333333333333337</v>
      </c>
      <c r="X29" s="4">
        <f t="shared" si="15"/>
        <v>1129.129739706764</v>
      </c>
      <c r="Y29" s="4">
        <f t="shared" si="16"/>
        <v>1059.891781978087</v>
      </c>
      <c r="Z29" s="4">
        <f t="shared" si="17"/>
        <v>1109.4364520759777</v>
      </c>
      <c r="AA29" s="4">
        <f t="shared" si="18"/>
        <v>1200.3801501860323</v>
      </c>
      <c r="AB29" s="4">
        <f t="shared" si="19"/>
        <v>1064.0125185626312</v>
      </c>
      <c r="AC29" s="4">
        <f t="shared" si="20"/>
        <v>2025.6295245535091</v>
      </c>
      <c r="AD29" s="4">
        <f t="shared" si="21"/>
        <v>1064.4437584377577</v>
      </c>
      <c r="AG29" s="10">
        <v>0.58333333333333337</v>
      </c>
      <c r="AH29" s="4">
        <f t="shared" si="22"/>
        <v>1129.129739706764</v>
      </c>
      <c r="AI29" s="4">
        <f t="shared" si="2"/>
        <v>1059.891781978087</v>
      </c>
      <c r="AJ29" s="4">
        <f t="shared" si="3"/>
        <v>1109.4364520759777</v>
      </c>
      <c r="AK29" s="4">
        <f t="shared" si="4"/>
        <v>1200.3801501860323</v>
      </c>
      <c r="AL29" s="4">
        <f t="shared" si="5"/>
        <v>1064.0125185626312</v>
      </c>
      <c r="AM29" s="4">
        <f t="shared" si="6"/>
        <v>2025.6295245535091</v>
      </c>
      <c r="AN29" s="4">
        <f t="shared" si="7"/>
        <v>1064.4437584377577</v>
      </c>
    </row>
    <row r="30" spans="1:40" ht="15.6" x14ac:dyDescent="0.3">
      <c r="A30" s="10">
        <v>0.59375</v>
      </c>
      <c r="B30" s="6">
        <v>1124.375</v>
      </c>
      <c r="C30" s="6">
        <v>1065</v>
      </c>
      <c r="D30" s="6">
        <v>967.4</v>
      </c>
      <c r="E30" s="6">
        <v>1478.2</v>
      </c>
      <c r="F30" s="6">
        <v>1219.4000000000001</v>
      </c>
      <c r="G30" s="6">
        <v>1203.375</v>
      </c>
      <c r="H30" s="6">
        <v>1785.25</v>
      </c>
      <c r="K30" s="10">
        <v>0.59375</v>
      </c>
      <c r="L30" s="11">
        <f t="shared" si="8"/>
        <v>0.89239862121013602</v>
      </c>
      <c r="M30" s="11">
        <f t="shared" si="9"/>
        <v>0.87109262354938088</v>
      </c>
      <c r="N30" s="11">
        <f t="shared" si="10"/>
        <v>0.76623266232630249</v>
      </c>
      <c r="O30" s="11">
        <f t="shared" si="11"/>
        <v>1.1353067027860686</v>
      </c>
      <c r="P30" s="11">
        <f t="shared" si="12"/>
        <v>0.97060115981974415</v>
      </c>
      <c r="Q30" s="11">
        <f t="shared" si="13"/>
        <v>0.87175968101281298</v>
      </c>
      <c r="R30" s="11">
        <f t="shared" si="14"/>
        <v>1.5315079632628883</v>
      </c>
      <c r="W30" s="10">
        <v>0.59375</v>
      </c>
      <c r="X30" s="4">
        <f t="shared" si="15"/>
        <v>1077.5007435457608</v>
      </c>
      <c r="Y30" s="4">
        <f t="shared" si="16"/>
        <v>1020.6010377998757</v>
      </c>
      <c r="Z30" s="4">
        <f t="shared" si="17"/>
        <v>927.0699004390608</v>
      </c>
      <c r="AA30" s="4">
        <f t="shared" si="18"/>
        <v>1416.5750742495552</v>
      </c>
      <c r="AB30" s="4">
        <f t="shared" si="19"/>
        <v>1168.5642305100175</v>
      </c>
      <c r="AC30" s="4">
        <f t="shared" si="20"/>
        <v>1153.2072994013383</v>
      </c>
      <c r="AD30" s="4">
        <f t="shared" si="21"/>
        <v>1710.8244157110123</v>
      </c>
      <c r="AG30" s="10">
        <v>0.59375</v>
      </c>
      <c r="AH30" s="4">
        <f t="shared" si="22"/>
        <v>1077.5007435457608</v>
      </c>
      <c r="AI30" s="4">
        <f t="shared" si="2"/>
        <v>1020.6010377998757</v>
      </c>
      <c r="AJ30" s="4">
        <f t="shared" si="3"/>
        <v>927.0699004390608</v>
      </c>
      <c r="AK30" s="4">
        <f t="shared" si="4"/>
        <v>1416.5750742495552</v>
      </c>
      <c r="AL30" s="4">
        <f t="shared" si="5"/>
        <v>1168.5642305100175</v>
      </c>
      <c r="AM30" s="4">
        <f t="shared" si="6"/>
        <v>1153.2072994013383</v>
      </c>
      <c r="AN30" s="4">
        <f t="shared" si="7"/>
        <v>1710.8244157110123</v>
      </c>
    </row>
    <row r="31" spans="1:40" ht="15.6" x14ac:dyDescent="0.3">
      <c r="A31" s="10">
        <v>0.60416666666666663</v>
      </c>
      <c r="B31" s="6">
        <v>1054.5</v>
      </c>
      <c r="C31" s="6">
        <v>1075.125</v>
      </c>
      <c r="D31" s="6">
        <v>851.4</v>
      </c>
      <c r="E31" s="6">
        <v>1237.0999999999999</v>
      </c>
      <c r="F31" s="6">
        <v>1546.7</v>
      </c>
      <c r="G31" s="6">
        <v>1115.875</v>
      </c>
      <c r="H31" s="6">
        <v>1182.75</v>
      </c>
      <c r="K31" s="10">
        <v>0.60416666666666663</v>
      </c>
      <c r="L31" s="11">
        <f t="shared" si="8"/>
        <v>0.83693994091480906</v>
      </c>
      <c r="M31" s="11">
        <f t="shared" si="9"/>
        <v>0.87937413792819541</v>
      </c>
      <c r="N31" s="11">
        <f t="shared" si="10"/>
        <v>0.67435444356482732</v>
      </c>
      <c r="O31" s="11">
        <f t="shared" si="11"/>
        <v>0.95013389393630454</v>
      </c>
      <c r="P31" s="11">
        <f t="shared" si="12"/>
        <v>1.2311208905143498</v>
      </c>
      <c r="Q31" s="11">
        <f t="shared" si="13"/>
        <v>0.80837214837450733</v>
      </c>
      <c r="R31" s="11">
        <f t="shared" si="14"/>
        <v>1.0146427915133349</v>
      </c>
      <c r="W31" s="10">
        <v>0.60416666666666663</v>
      </c>
      <c r="X31" s="4">
        <f t="shared" si="15"/>
        <v>1010.5387740469192</v>
      </c>
      <c r="Y31" s="4">
        <f t="shared" si="16"/>
        <v>1030.3039349902267</v>
      </c>
      <c r="Z31" s="4">
        <f t="shared" si="17"/>
        <v>815.90584373973172</v>
      </c>
      <c r="AA31" s="4">
        <f t="shared" si="18"/>
        <v>1185.5263322650012</v>
      </c>
      <c r="AB31" s="4">
        <f t="shared" si="19"/>
        <v>1482.2193663521766</v>
      </c>
      <c r="AC31" s="4">
        <f t="shared" si="20"/>
        <v>1069.3551014600341</v>
      </c>
      <c r="AD31" s="4">
        <f t="shared" si="21"/>
        <v>1133.442138458031</v>
      </c>
      <c r="AG31" s="10">
        <v>0.60416666666666663</v>
      </c>
      <c r="AH31" s="4">
        <f t="shared" si="22"/>
        <v>1010.5387740469192</v>
      </c>
      <c r="AI31" s="4">
        <f t="shared" si="2"/>
        <v>1030.3039349902267</v>
      </c>
      <c r="AJ31" s="4">
        <f t="shared" si="3"/>
        <v>815.90584373973172</v>
      </c>
      <c r="AK31" s="4">
        <f t="shared" si="4"/>
        <v>1185.5263322650012</v>
      </c>
      <c r="AL31" s="4">
        <f t="shared" si="5"/>
        <v>1482.2193663521766</v>
      </c>
      <c r="AM31" s="4">
        <f t="shared" si="6"/>
        <v>1069.3551014600341</v>
      </c>
      <c r="AN31" s="4">
        <f t="shared" si="7"/>
        <v>1133.442138458031</v>
      </c>
    </row>
    <row r="32" spans="1:40" ht="15.6" x14ac:dyDescent="0.3">
      <c r="A32" s="10">
        <v>0.61458333333333337</v>
      </c>
      <c r="B32" s="6">
        <v>1364.125</v>
      </c>
      <c r="C32" s="6">
        <v>1029.625</v>
      </c>
      <c r="D32" s="6">
        <v>1149.0999999999999</v>
      </c>
      <c r="E32" s="6">
        <v>1194.0999999999999</v>
      </c>
      <c r="F32" s="6">
        <v>991.4</v>
      </c>
      <c r="G32" s="6">
        <v>1516.75</v>
      </c>
      <c r="H32" s="6">
        <v>1383.5</v>
      </c>
      <c r="K32" s="10">
        <v>0.61458333333333337</v>
      </c>
      <c r="L32" s="11">
        <f t="shared" si="8"/>
        <v>1.082684397250274</v>
      </c>
      <c r="M32" s="11">
        <f t="shared" si="9"/>
        <v>0.84215844368265846</v>
      </c>
      <c r="N32" s="11">
        <f t="shared" si="10"/>
        <v>0.91014880326561309</v>
      </c>
      <c r="O32" s="11">
        <f t="shared" si="11"/>
        <v>0.91710846556409442</v>
      </c>
      <c r="P32" s="11">
        <f t="shared" si="12"/>
        <v>0.78912087079325421</v>
      </c>
      <c r="Q32" s="11">
        <f t="shared" si="13"/>
        <v>1.0987776014760022</v>
      </c>
      <c r="R32" s="11">
        <f t="shared" si="14"/>
        <v>1.1868596931377713</v>
      </c>
      <c r="W32" s="10">
        <v>0.61458333333333337</v>
      </c>
      <c r="X32" s="4">
        <f t="shared" si="15"/>
        <v>1307.2557659049348</v>
      </c>
      <c r="Y32" s="4">
        <f t="shared" si="16"/>
        <v>986.70079206074843</v>
      </c>
      <c r="Z32" s="4">
        <f t="shared" si="17"/>
        <v>1101.1949789068892</v>
      </c>
      <c r="AA32" s="4">
        <f t="shared" si="18"/>
        <v>1144.3189664195602</v>
      </c>
      <c r="AB32" s="4">
        <f t="shared" si="19"/>
        <v>950.06936044581869</v>
      </c>
      <c r="AC32" s="4">
        <f t="shared" si="20"/>
        <v>1453.5179568854098</v>
      </c>
      <c r="AD32" s="4">
        <f t="shared" si="21"/>
        <v>1325.8230383062237</v>
      </c>
      <c r="AG32" s="10">
        <v>0.61458333333333337</v>
      </c>
      <c r="AH32" s="4">
        <f t="shared" si="22"/>
        <v>1307.2557659049348</v>
      </c>
      <c r="AI32" s="4">
        <f t="shared" si="2"/>
        <v>986.70079206074843</v>
      </c>
      <c r="AJ32" s="4">
        <f t="shared" si="3"/>
        <v>1101.1949789068892</v>
      </c>
      <c r="AK32" s="4">
        <f t="shared" si="4"/>
        <v>1144.3189664195602</v>
      </c>
      <c r="AL32" s="4">
        <f t="shared" si="5"/>
        <v>950.06936044581869</v>
      </c>
      <c r="AM32" s="4">
        <f t="shared" si="6"/>
        <v>1453.5179568854098</v>
      </c>
      <c r="AN32" s="4">
        <f t="shared" si="7"/>
        <v>1325.8230383062237</v>
      </c>
    </row>
    <row r="33" spans="1:40" ht="15.6" x14ac:dyDescent="0.3">
      <c r="A33" s="10">
        <v>0.625</v>
      </c>
      <c r="B33" s="6">
        <v>1181.5</v>
      </c>
      <c r="C33" s="6">
        <v>1095.875</v>
      </c>
      <c r="D33" s="6">
        <v>1246.4000000000001</v>
      </c>
      <c r="E33" s="6">
        <v>1067.4000000000001</v>
      </c>
      <c r="F33" s="6">
        <v>1083.9000000000001</v>
      </c>
      <c r="G33" s="6">
        <v>1392.375</v>
      </c>
      <c r="H33" s="6">
        <v>1025.375</v>
      </c>
      <c r="K33" s="10">
        <v>0.625</v>
      </c>
      <c r="L33" s="11">
        <f t="shared" si="8"/>
        <v>0.93773782853565368</v>
      </c>
      <c r="M33" s="11">
        <f t="shared" si="9"/>
        <v>0.89634613035885236</v>
      </c>
      <c r="N33" s="11">
        <f t="shared" si="10"/>
        <v>0.9872156195198506</v>
      </c>
      <c r="O33" s="11">
        <f t="shared" si="11"/>
        <v>0.81979865684876863</v>
      </c>
      <c r="P33" s="11">
        <f t="shared" si="12"/>
        <v>0.86274774243777319</v>
      </c>
      <c r="Q33" s="11">
        <f t="shared" si="13"/>
        <v>1.0086767515115533</v>
      </c>
      <c r="R33" s="11">
        <f t="shared" si="14"/>
        <v>0.87963589291734168</v>
      </c>
      <c r="W33" s="10">
        <v>0.625</v>
      </c>
      <c r="X33" s="4">
        <f t="shared" si="15"/>
        <v>1132.2442499160122</v>
      </c>
      <c r="Y33" s="4">
        <f t="shared" si="16"/>
        <v>1050.188884787736</v>
      </c>
      <c r="Z33" s="4">
        <f t="shared" si="17"/>
        <v>1194.4386230176199</v>
      </c>
      <c r="AA33" s="4">
        <f t="shared" si="18"/>
        <v>1022.9009838005517</v>
      </c>
      <c r="AB33" s="4">
        <f t="shared" si="19"/>
        <v>1038.7131125551975</v>
      </c>
      <c r="AC33" s="4">
        <f t="shared" si="20"/>
        <v>1334.3280469545557</v>
      </c>
      <c r="AD33" s="4">
        <f t="shared" si="21"/>
        <v>982.6279710178851</v>
      </c>
      <c r="AG33" s="10">
        <v>0.625</v>
      </c>
      <c r="AH33" s="4">
        <f t="shared" si="22"/>
        <v>1132.2442499160122</v>
      </c>
      <c r="AI33" s="4">
        <f t="shared" si="2"/>
        <v>1050.188884787736</v>
      </c>
      <c r="AJ33" s="4">
        <f t="shared" si="3"/>
        <v>1194.4386230176199</v>
      </c>
      <c r="AK33" s="4">
        <f t="shared" si="4"/>
        <v>1022.9009838005517</v>
      </c>
      <c r="AL33" s="4">
        <f t="shared" si="5"/>
        <v>1038.7131125551975</v>
      </c>
      <c r="AM33" s="4">
        <f t="shared" si="6"/>
        <v>1334.3280469545557</v>
      </c>
      <c r="AN33" s="4">
        <f t="shared" si="7"/>
        <v>982.6279710178851</v>
      </c>
    </row>
    <row r="34" spans="1:40" ht="15.6" x14ac:dyDescent="0.3">
      <c r="A34" s="10">
        <v>0.63541666666666663</v>
      </c>
      <c r="B34" s="6">
        <v>1464.75</v>
      </c>
      <c r="C34" s="6">
        <v>1183.5</v>
      </c>
      <c r="D34" s="6">
        <v>987.7</v>
      </c>
      <c r="E34" s="6">
        <v>1052.9000000000001</v>
      </c>
      <c r="F34" s="6">
        <v>1238.0999999999999</v>
      </c>
      <c r="G34" s="6">
        <v>1390.875</v>
      </c>
      <c r="H34" s="6">
        <v>1067.625</v>
      </c>
      <c r="K34" s="10">
        <v>0.63541666666666663</v>
      </c>
      <c r="L34" s="11">
        <f t="shared" si="8"/>
        <v>1.1625488652963172</v>
      </c>
      <c r="M34" s="11">
        <f t="shared" si="9"/>
        <v>0.96801701405698803</v>
      </c>
      <c r="N34" s="11">
        <f t="shared" si="10"/>
        <v>0.7823113506095607</v>
      </c>
      <c r="O34" s="11">
        <f t="shared" si="11"/>
        <v>0.80866217518837213</v>
      </c>
      <c r="P34" s="11">
        <f t="shared" si="12"/>
        <v>0.98548572738463591</v>
      </c>
      <c r="Q34" s="11">
        <f t="shared" si="13"/>
        <v>1.0075901080948968</v>
      </c>
      <c r="R34" s="11">
        <f t="shared" si="14"/>
        <v>0.91588079500268371</v>
      </c>
      <c r="W34" s="10">
        <v>0.63541666666666663</v>
      </c>
      <c r="X34" s="4">
        <f t="shared" si="15"/>
        <v>1403.6857935374346</v>
      </c>
      <c r="Y34" s="4">
        <f t="shared" si="16"/>
        <v>1134.1608715832422</v>
      </c>
      <c r="Z34" s="4">
        <f t="shared" si="17"/>
        <v>946.5236103614435</v>
      </c>
      <c r="AA34" s="4">
        <f t="shared" si="18"/>
        <v>1009.0054767131355</v>
      </c>
      <c r="AB34" s="4">
        <f t="shared" si="19"/>
        <v>1186.4846430986161</v>
      </c>
      <c r="AC34" s="4">
        <f t="shared" si="20"/>
        <v>1332.8905807041335</v>
      </c>
      <c r="AD34" s="4">
        <f t="shared" si="21"/>
        <v>1023.1166037381148</v>
      </c>
      <c r="AG34" s="10">
        <v>0.63541666666666663</v>
      </c>
      <c r="AH34" s="4">
        <f t="shared" si="22"/>
        <v>1403.6857935374346</v>
      </c>
      <c r="AI34" s="4">
        <f t="shared" si="2"/>
        <v>1134.1608715832422</v>
      </c>
      <c r="AJ34" s="4">
        <f t="shared" si="3"/>
        <v>946.5236103614435</v>
      </c>
      <c r="AK34" s="4">
        <f t="shared" si="4"/>
        <v>1009.0054767131355</v>
      </c>
      <c r="AL34" s="4">
        <f t="shared" si="5"/>
        <v>1186.4846430986161</v>
      </c>
      <c r="AM34" s="4">
        <f t="shared" si="6"/>
        <v>1332.8905807041335</v>
      </c>
      <c r="AN34" s="4">
        <f t="shared" si="7"/>
        <v>1023.1166037381148</v>
      </c>
    </row>
    <row r="35" spans="1:40" ht="15.6" x14ac:dyDescent="0.3">
      <c r="A35" s="10">
        <v>0.64583333333333337</v>
      </c>
      <c r="B35" s="6">
        <v>1086.375</v>
      </c>
      <c r="C35" s="6">
        <v>1003.375</v>
      </c>
      <c r="D35" s="6">
        <v>1242.9000000000001</v>
      </c>
      <c r="E35" s="6">
        <v>1216.5</v>
      </c>
      <c r="F35" s="6">
        <v>1202.5999999999999</v>
      </c>
      <c r="G35" s="6">
        <v>1558.125</v>
      </c>
      <c r="H35" s="6">
        <v>1159.125</v>
      </c>
      <c r="K35" s="10">
        <v>0.64583333333333337</v>
      </c>
      <c r="L35" s="11">
        <f t="shared" si="8"/>
        <v>0.86223862333933199</v>
      </c>
      <c r="M35" s="11">
        <f t="shared" si="9"/>
        <v>0.82068785084869489</v>
      </c>
      <c r="N35" s="11">
        <f t="shared" si="10"/>
        <v>0.9844434318848061</v>
      </c>
      <c r="O35" s="11">
        <f t="shared" si="11"/>
        <v>0.93431240964636209</v>
      </c>
      <c r="P35" s="11">
        <f t="shared" si="12"/>
        <v>0.95722892799673942</v>
      </c>
      <c r="Q35" s="11">
        <f t="shared" si="13"/>
        <v>1.1287508490521154</v>
      </c>
      <c r="R35" s="11">
        <f t="shared" si="14"/>
        <v>0.99437567170821761</v>
      </c>
      <c r="W35" s="10">
        <v>0.64583333333333337</v>
      </c>
      <c r="X35" s="4">
        <f t="shared" si="15"/>
        <v>1041.0849318683943</v>
      </c>
      <c r="Y35" s="4">
        <f t="shared" si="16"/>
        <v>961.54513267835716</v>
      </c>
      <c r="Z35" s="4">
        <f t="shared" si="17"/>
        <v>1191.0845350999678</v>
      </c>
      <c r="AA35" s="4">
        <f t="shared" si="18"/>
        <v>1165.7851290925341</v>
      </c>
      <c r="AB35" s="4">
        <f t="shared" si="19"/>
        <v>1152.4646085052868</v>
      </c>
      <c r="AC35" s="4">
        <f t="shared" si="20"/>
        <v>1493.1680676262267</v>
      </c>
      <c r="AD35" s="4">
        <f t="shared" si="21"/>
        <v>1110.8020450138788</v>
      </c>
      <c r="AG35" s="10">
        <v>0.64583333333333337</v>
      </c>
      <c r="AH35" s="4">
        <f t="shared" si="22"/>
        <v>1041.0849318683943</v>
      </c>
      <c r="AI35" s="4">
        <f t="shared" si="2"/>
        <v>961.54513267835716</v>
      </c>
      <c r="AJ35" s="4">
        <f t="shared" si="3"/>
        <v>1191.0845350999678</v>
      </c>
      <c r="AK35" s="4">
        <f t="shared" si="4"/>
        <v>1165.7851290925341</v>
      </c>
      <c r="AL35" s="4">
        <f t="shared" si="5"/>
        <v>1152.4646085052868</v>
      </c>
      <c r="AM35" s="4">
        <f t="shared" si="6"/>
        <v>1493.1680676262267</v>
      </c>
      <c r="AN35" s="4">
        <f t="shared" si="7"/>
        <v>1110.8020450138788</v>
      </c>
    </row>
    <row r="36" spans="1:40" ht="15.6" x14ac:dyDescent="0.3">
      <c r="A36" s="10">
        <v>0.65625</v>
      </c>
      <c r="B36" s="6">
        <v>1634.625</v>
      </c>
      <c r="C36" s="6">
        <v>1300.625</v>
      </c>
      <c r="D36" s="6">
        <v>1194.9000000000001</v>
      </c>
      <c r="E36" s="6">
        <v>1269.2</v>
      </c>
      <c r="F36" s="6">
        <v>1233</v>
      </c>
      <c r="G36" s="6">
        <v>1114.75</v>
      </c>
      <c r="H36" s="6">
        <v>1138.25</v>
      </c>
      <c r="K36" s="10">
        <v>0.65625</v>
      </c>
      <c r="L36" s="11">
        <f t="shared" si="8"/>
        <v>1.2973759610411282</v>
      </c>
      <c r="M36" s="11">
        <f t="shared" si="9"/>
        <v>1.0638167544637684</v>
      </c>
      <c r="N36" s="11">
        <f t="shared" si="10"/>
        <v>0.94642485860419567</v>
      </c>
      <c r="O36" s="11">
        <f t="shared" si="11"/>
        <v>0.97478776023276847</v>
      </c>
      <c r="P36" s="11">
        <f t="shared" si="12"/>
        <v>0.98142629986693819</v>
      </c>
      <c r="Q36" s="11">
        <f t="shared" si="13"/>
        <v>0.80755716581201475</v>
      </c>
      <c r="R36" s="11">
        <f t="shared" si="14"/>
        <v>0.97646768754179114</v>
      </c>
      <c r="W36" s="10">
        <v>0.65625</v>
      </c>
      <c r="X36" s="4">
        <f t="shared" si="15"/>
        <v>1566.478846397767</v>
      </c>
      <c r="Y36" s="4">
        <f t="shared" si="16"/>
        <v>1246.4030279703879</v>
      </c>
      <c r="Z36" s="4">
        <f t="shared" si="17"/>
        <v>1145.0856150864522</v>
      </c>
      <c r="AA36" s="4">
        <f t="shared" si="18"/>
        <v>1216.28811002404</v>
      </c>
      <c r="AB36" s="4">
        <f t="shared" si="19"/>
        <v>1181.5972578471801</v>
      </c>
      <c r="AC36" s="4">
        <f t="shared" si="20"/>
        <v>1068.2770017722173</v>
      </c>
      <c r="AD36" s="4">
        <f t="shared" si="21"/>
        <v>1090.7973063621675</v>
      </c>
      <c r="AG36" s="10">
        <v>0.65625</v>
      </c>
      <c r="AH36" s="4">
        <f t="shared" si="22"/>
        <v>1566.478846397767</v>
      </c>
      <c r="AI36" s="4">
        <f t="shared" si="2"/>
        <v>1246.4030279703879</v>
      </c>
      <c r="AJ36" s="4">
        <f t="shared" si="3"/>
        <v>1145.0856150864522</v>
      </c>
      <c r="AK36" s="4">
        <f t="shared" si="4"/>
        <v>1216.28811002404</v>
      </c>
      <c r="AL36" s="4">
        <f t="shared" si="5"/>
        <v>1181.5972578471801</v>
      </c>
      <c r="AM36" s="4">
        <f t="shared" si="6"/>
        <v>1068.2770017722173</v>
      </c>
      <c r="AN36" s="4">
        <f t="shared" si="7"/>
        <v>1090.7973063621675</v>
      </c>
    </row>
    <row r="37" spans="1:40" ht="15.6" x14ac:dyDescent="0.3">
      <c r="A37" s="10">
        <v>0.66666666666666663</v>
      </c>
      <c r="B37" s="6">
        <v>1165</v>
      </c>
      <c r="C37" s="6">
        <v>1269.25</v>
      </c>
      <c r="D37" s="6">
        <v>1323.5</v>
      </c>
      <c r="E37" s="6">
        <v>1005.7</v>
      </c>
      <c r="F37" s="6">
        <v>948.1</v>
      </c>
      <c r="G37" s="6">
        <v>1015.75</v>
      </c>
      <c r="H37" s="6">
        <v>1412.5</v>
      </c>
      <c r="K37" s="10">
        <v>0.66666666666666663</v>
      </c>
      <c r="L37" s="11">
        <f t="shared" si="8"/>
        <v>0.92464203998648886</v>
      </c>
      <c r="M37" s="11">
        <f t="shared" si="9"/>
        <v>1.0381542839812692</v>
      </c>
      <c r="N37" s="11">
        <f t="shared" si="10"/>
        <v>1.0482829528518312</v>
      </c>
      <c r="O37" s="11">
        <f t="shared" si="11"/>
        <v>0.77241100730073686</v>
      </c>
      <c r="P37" s="11">
        <f t="shared" si="12"/>
        <v>0.75465553520182005</v>
      </c>
      <c r="Q37" s="11">
        <f t="shared" si="13"/>
        <v>0.73583870031267462</v>
      </c>
      <c r="R37" s="11">
        <f t="shared" si="14"/>
        <v>1.2117378507821481</v>
      </c>
      <c r="W37" s="10">
        <v>0.66666666666666663</v>
      </c>
      <c r="X37" s="4">
        <f t="shared" si="15"/>
        <v>1116.4321211613665</v>
      </c>
      <c r="Y37" s="4">
        <f t="shared" si="16"/>
        <v>1216.3360255657205</v>
      </c>
      <c r="Z37" s="4">
        <f t="shared" si="17"/>
        <v>1268.3243882893294</v>
      </c>
      <c r="AA37" s="4">
        <f t="shared" si="18"/>
        <v>963.77320536651189</v>
      </c>
      <c r="AB37" s="4">
        <f t="shared" si="19"/>
        <v>908.5745013502933</v>
      </c>
      <c r="AC37" s="4">
        <f t="shared" si="20"/>
        <v>973.40422924434154</v>
      </c>
      <c r="AD37" s="4">
        <f t="shared" si="21"/>
        <v>1353.614052481056</v>
      </c>
      <c r="AG37" s="10">
        <v>0.66666666666666663</v>
      </c>
      <c r="AH37" s="4">
        <f t="shared" si="22"/>
        <v>1116.4321211613665</v>
      </c>
      <c r="AI37" s="4">
        <f t="shared" si="2"/>
        <v>1216.3360255657205</v>
      </c>
      <c r="AJ37" s="4">
        <f t="shared" si="3"/>
        <v>1268.3243882893294</v>
      </c>
      <c r="AK37" s="4">
        <f t="shared" si="4"/>
        <v>963.77320536651189</v>
      </c>
      <c r="AL37" s="4">
        <f t="shared" si="5"/>
        <v>908.5745013502933</v>
      </c>
      <c r="AM37" s="4">
        <f t="shared" si="6"/>
        <v>973.40422924434154</v>
      </c>
      <c r="AN37" s="4">
        <f t="shared" si="7"/>
        <v>1353.614052481056</v>
      </c>
    </row>
    <row r="38" spans="1:40" ht="15.6" x14ac:dyDescent="0.3">
      <c r="A38" s="10">
        <v>0.67708333333333337</v>
      </c>
      <c r="B38" s="6">
        <v>1361.125</v>
      </c>
      <c r="C38" s="6">
        <v>1050.25</v>
      </c>
      <c r="D38" s="6">
        <v>978.8</v>
      </c>
      <c r="E38" s="6">
        <v>1447.9</v>
      </c>
      <c r="F38" s="6">
        <v>1434.3</v>
      </c>
      <c r="G38" s="6">
        <v>1533</v>
      </c>
      <c r="H38" s="6">
        <v>1081</v>
      </c>
      <c r="K38" s="10">
        <v>0.67708333333333337</v>
      </c>
      <c r="L38" s="11">
        <f t="shared" si="8"/>
        <v>1.0803033447867894</v>
      </c>
      <c r="M38" s="11">
        <f t="shared" si="9"/>
        <v>0.85902819519505846</v>
      </c>
      <c r="N38" s="11">
        <f t="shared" si="10"/>
        <v>0.7752620734804474</v>
      </c>
      <c r="O38" s="11">
        <f t="shared" si="11"/>
        <v>1.11203529628193</v>
      </c>
      <c r="P38" s="11">
        <f t="shared" si="12"/>
        <v>1.14165429188901</v>
      </c>
      <c r="Q38" s="11">
        <f t="shared" si="13"/>
        <v>1.1105495718231162</v>
      </c>
      <c r="R38" s="11">
        <f t="shared" si="14"/>
        <v>0.92735477288177137</v>
      </c>
      <c r="W38" s="10">
        <v>0.67708333333333337</v>
      </c>
      <c r="X38" s="4">
        <f t="shared" si="15"/>
        <v>1304.38083340409</v>
      </c>
      <c r="Y38" s="4">
        <f t="shared" si="16"/>
        <v>1006.4659530040559</v>
      </c>
      <c r="Z38" s="4">
        <f t="shared" si="17"/>
        <v>937.99464394227073</v>
      </c>
      <c r="AA38" s="4">
        <f t="shared" si="18"/>
        <v>1387.5382559910238</v>
      </c>
      <c r="AB38" s="4">
        <f t="shared" si="19"/>
        <v>1374.505228653861</v>
      </c>
      <c r="AC38" s="4">
        <f t="shared" si="20"/>
        <v>1469.0905079316522</v>
      </c>
      <c r="AD38" s="4">
        <f t="shared" si="21"/>
        <v>1035.9340111377142</v>
      </c>
      <c r="AG38" s="10">
        <v>0.67708333333333337</v>
      </c>
      <c r="AH38" s="4">
        <f t="shared" si="22"/>
        <v>1304.38083340409</v>
      </c>
      <c r="AI38" s="4">
        <f t="shared" si="2"/>
        <v>1006.4659530040559</v>
      </c>
      <c r="AJ38" s="4">
        <f t="shared" si="3"/>
        <v>937.99464394227073</v>
      </c>
      <c r="AK38" s="4">
        <f t="shared" si="4"/>
        <v>1387.5382559910238</v>
      </c>
      <c r="AL38" s="4">
        <f t="shared" si="5"/>
        <v>1374.505228653861</v>
      </c>
      <c r="AM38" s="4">
        <f t="shared" si="6"/>
        <v>1469.0905079316522</v>
      </c>
      <c r="AN38" s="4">
        <f t="shared" si="7"/>
        <v>1035.9340111377142</v>
      </c>
    </row>
    <row r="39" spans="1:40" ht="15.6" x14ac:dyDescent="0.3">
      <c r="A39" s="10">
        <v>0.6875</v>
      </c>
      <c r="B39" s="6">
        <v>1098</v>
      </c>
      <c r="C39" s="6">
        <v>1305.125</v>
      </c>
      <c r="D39" s="6">
        <v>1294.0999999999999</v>
      </c>
      <c r="E39" s="6">
        <v>1272.2</v>
      </c>
      <c r="F39" s="6">
        <v>1182.0999999999999</v>
      </c>
      <c r="G39" s="6">
        <v>1504.375</v>
      </c>
      <c r="H39" s="6">
        <v>1009</v>
      </c>
      <c r="K39" s="10">
        <v>0.6875</v>
      </c>
      <c r="L39" s="11">
        <f t="shared" si="8"/>
        <v>0.87146520163533459</v>
      </c>
      <c r="M39" s="11">
        <f t="shared" si="9"/>
        <v>1.0674974275210194</v>
      </c>
      <c r="N39" s="11">
        <f t="shared" si="10"/>
        <v>1.0249965767174571</v>
      </c>
      <c r="O39" s="11">
        <f t="shared" si="11"/>
        <v>0.9770918598866436</v>
      </c>
      <c r="P39" s="11">
        <f t="shared" si="12"/>
        <v>0.94091162130795414</v>
      </c>
      <c r="Q39" s="11">
        <f t="shared" si="13"/>
        <v>1.0898127932885846</v>
      </c>
      <c r="R39" s="11">
        <f t="shared" si="14"/>
        <v>0.86558831252331847</v>
      </c>
      <c r="W39" s="10">
        <v>0.6875</v>
      </c>
      <c r="X39" s="4">
        <f t="shared" si="15"/>
        <v>1052.2252953091677</v>
      </c>
      <c r="Y39" s="4">
        <f t="shared" si="16"/>
        <v>1250.7154267216551</v>
      </c>
      <c r="Z39" s="4">
        <f t="shared" si="17"/>
        <v>1240.1500497810509</v>
      </c>
      <c r="AA39" s="4">
        <f t="shared" si="18"/>
        <v>1219.1630425248845</v>
      </c>
      <c r="AB39" s="4">
        <f t="shared" si="19"/>
        <v>1132.8192364161812</v>
      </c>
      <c r="AC39" s="4">
        <f t="shared" si="20"/>
        <v>1441.6588603194252</v>
      </c>
      <c r="AD39" s="4">
        <f t="shared" si="21"/>
        <v>966.93563111744095</v>
      </c>
      <c r="AG39" s="10">
        <v>0.6875</v>
      </c>
      <c r="AH39" s="4">
        <f t="shared" si="22"/>
        <v>1052.2252953091677</v>
      </c>
      <c r="AI39" s="4">
        <f t="shared" si="2"/>
        <v>1250.7154267216551</v>
      </c>
      <c r="AJ39" s="4">
        <f t="shared" si="3"/>
        <v>1240.1500497810509</v>
      </c>
      <c r="AK39" s="4">
        <f t="shared" si="4"/>
        <v>1219.1630425248845</v>
      </c>
      <c r="AL39" s="4">
        <f t="shared" si="5"/>
        <v>1132.8192364161812</v>
      </c>
      <c r="AM39" s="4">
        <f t="shared" si="6"/>
        <v>1441.6588603194252</v>
      </c>
      <c r="AN39" s="4">
        <f t="shared" si="7"/>
        <v>966.93563111744095</v>
      </c>
    </row>
    <row r="40" spans="1:40" ht="15.6" x14ac:dyDescent="0.3">
      <c r="A40" s="10">
        <v>0.69791666666666663</v>
      </c>
      <c r="B40" s="6">
        <v>1282.25</v>
      </c>
      <c r="C40" s="6">
        <v>1147.25</v>
      </c>
      <c r="D40" s="6">
        <v>1172.2</v>
      </c>
      <c r="E40" s="6">
        <v>1685.2</v>
      </c>
      <c r="F40" s="6">
        <v>1091.3</v>
      </c>
      <c r="G40" s="6">
        <v>1499.25</v>
      </c>
      <c r="H40" s="6">
        <v>1277.875</v>
      </c>
      <c r="K40" s="10">
        <v>0.69791666666666663</v>
      </c>
      <c r="L40" s="11">
        <f t="shared" si="8"/>
        <v>1.0177015071010089</v>
      </c>
      <c r="M40" s="11">
        <f t="shared" si="9"/>
        <v>0.93836714776246688</v>
      </c>
      <c r="N40" s="11">
        <f t="shared" si="10"/>
        <v>0.92844524165690701</v>
      </c>
      <c r="O40" s="11">
        <f t="shared" si="11"/>
        <v>1.2942895789034521</v>
      </c>
      <c r="P40" s="11">
        <f t="shared" si="12"/>
        <v>0.86863789216933462</v>
      </c>
      <c r="Q40" s="11">
        <f t="shared" si="13"/>
        <v>1.086100094948341</v>
      </c>
      <c r="R40" s="11">
        <f t="shared" si="14"/>
        <v>1.0962474379244158</v>
      </c>
      <c r="W40" s="10">
        <v>0.69791666666666663</v>
      </c>
      <c r="X40" s="4">
        <f t="shared" si="15"/>
        <v>1228.7940664027142</v>
      </c>
      <c r="Y40" s="4">
        <f t="shared" si="16"/>
        <v>1099.4221038647017</v>
      </c>
      <c r="Z40" s="4">
        <f t="shared" si="17"/>
        <v>1123.3319591633938</v>
      </c>
      <c r="AA40" s="4">
        <f t="shared" si="18"/>
        <v>1614.9454168078412</v>
      </c>
      <c r="AB40" s="4">
        <f t="shared" si="19"/>
        <v>1045.8046127239479</v>
      </c>
      <c r="AC40" s="4">
        <f t="shared" si="20"/>
        <v>1436.747517297149</v>
      </c>
      <c r="AD40" s="4">
        <f t="shared" si="21"/>
        <v>1224.6014565056489</v>
      </c>
      <c r="AG40" s="10">
        <v>0.69791666666666663</v>
      </c>
      <c r="AH40" s="4">
        <f t="shared" si="22"/>
        <v>1228.7940664027142</v>
      </c>
      <c r="AI40" s="4">
        <f t="shared" si="2"/>
        <v>1099.4221038647017</v>
      </c>
      <c r="AJ40" s="4">
        <f t="shared" si="3"/>
        <v>1123.3319591633938</v>
      </c>
      <c r="AK40" s="4">
        <f t="shared" si="4"/>
        <v>1614.9454168078412</v>
      </c>
      <c r="AL40" s="4">
        <f t="shared" si="5"/>
        <v>1045.8046127239479</v>
      </c>
      <c r="AM40" s="4">
        <f t="shared" si="6"/>
        <v>1436.747517297149</v>
      </c>
      <c r="AN40" s="4">
        <f t="shared" si="7"/>
        <v>1224.6014565056489</v>
      </c>
    </row>
    <row r="41" spans="1:40" ht="15.6" x14ac:dyDescent="0.3">
      <c r="A41" s="10">
        <v>0.70833333333333337</v>
      </c>
      <c r="B41" s="6">
        <v>1096.375</v>
      </c>
      <c r="C41" s="6">
        <v>1165.5</v>
      </c>
      <c r="D41" s="6">
        <v>1254.9000000000001</v>
      </c>
      <c r="E41" s="6">
        <v>1414.4</v>
      </c>
      <c r="F41" s="6">
        <v>1157.3</v>
      </c>
      <c r="G41" s="6">
        <v>1545.25</v>
      </c>
      <c r="H41" s="6">
        <v>1295.125</v>
      </c>
      <c r="K41" s="10">
        <v>0.70833333333333337</v>
      </c>
      <c r="L41" s="11">
        <f t="shared" si="8"/>
        <v>0.87017546488428044</v>
      </c>
      <c r="M41" s="11">
        <f t="shared" si="9"/>
        <v>0.95329432182798435</v>
      </c>
      <c r="N41" s="11">
        <f t="shared" si="10"/>
        <v>0.99394807520495876</v>
      </c>
      <c r="O41" s="11">
        <f t="shared" si="11"/>
        <v>1.0863061834803245</v>
      </c>
      <c r="P41" s="11">
        <f t="shared" si="12"/>
        <v>0.92117166004542372</v>
      </c>
      <c r="Q41" s="11">
        <f t="shared" si="13"/>
        <v>1.1194238263924789</v>
      </c>
      <c r="R41" s="11">
        <f t="shared" si="14"/>
        <v>1.1110456523852952</v>
      </c>
      <c r="W41" s="10">
        <v>0.70833333333333337</v>
      </c>
      <c r="X41" s="4">
        <f t="shared" si="15"/>
        <v>1050.6680402045433</v>
      </c>
      <c r="Y41" s="4">
        <f t="shared" si="16"/>
        <v>1116.9112765781738</v>
      </c>
      <c r="Z41" s="4">
        <f t="shared" si="17"/>
        <v>1202.5842651033468</v>
      </c>
      <c r="AA41" s="4">
        <f t="shared" si="18"/>
        <v>1355.4348430649245</v>
      </c>
      <c r="AB41" s="4">
        <f t="shared" si="19"/>
        <v>1109.0531277425316</v>
      </c>
      <c r="AC41" s="4">
        <f t="shared" si="20"/>
        <v>1480.8298156434348</v>
      </c>
      <c r="AD41" s="4">
        <f t="shared" si="21"/>
        <v>1241.1323183855061</v>
      </c>
      <c r="AG41" s="10">
        <v>0.70833333333333337</v>
      </c>
      <c r="AH41" s="4">
        <f t="shared" si="22"/>
        <v>1050.6680402045433</v>
      </c>
      <c r="AI41" s="4">
        <f t="shared" si="2"/>
        <v>1116.9112765781738</v>
      </c>
      <c r="AJ41" s="4">
        <f t="shared" si="3"/>
        <v>1202.5842651033468</v>
      </c>
      <c r="AK41" s="4">
        <f t="shared" si="4"/>
        <v>1355.4348430649245</v>
      </c>
      <c r="AL41" s="4">
        <f t="shared" si="5"/>
        <v>1109.0531277425316</v>
      </c>
      <c r="AM41" s="4">
        <f t="shared" si="6"/>
        <v>1480.8298156434348</v>
      </c>
      <c r="AN41" s="4">
        <f t="shared" si="7"/>
        <v>1241.1323183855061</v>
      </c>
    </row>
    <row r="42" spans="1:40" ht="15.6" x14ac:dyDescent="0.3">
      <c r="A42" s="10">
        <v>0.71875</v>
      </c>
      <c r="B42" s="6">
        <v>1039.75</v>
      </c>
      <c r="C42" s="6">
        <v>1489.625</v>
      </c>
      <c r="D42" s="6">
        <v>1150.3</v>
      </c>
      <c r="E42" s="6">
        <v>1225.8</v>
      </c>
      <c r="F42" s="6">
        <v>1172.4000000000001</v>
      </c>
      <c r="G42" s="6">
        <v>1397</v>
      </c>
      <c r="H42" s="6">
        <v>1586.5</v>
      </c>
      <c r="K42" s="10">
        <v>0.71875</v>
      </c>
      <c r="L42" s="11">
        <f t="shared" si="8"/>
        <v>0.8252330996360101</v>
      </c>
      <c r="M42" s="11">
        <f t="shared" si="9"/>
        <v>1.2184050228683065</v>
      </c>
      <c r="N42" s="11">
        <f t="shared" si="10"/>
        <v>0.91109926759762838</v>
      </c>
      <c r="O42" s="11">
        <f t="shared" si="11"/>
        <v>0.94145511857337494</v>
      </c>
      <c r="P42" s="11">
        <f t="shared" si="12"/>
        <v>0.9331907493625291</v>
      </c>
      <c r="Q42" s="11">
        <f t="shared" si="13"/>
        <v>1.0120272353795781</v>
      </c>
      <c r="R42" s="11">
        <f t="shared" si="14"/>
        <v>1.3610067966484092</v>
      </c>
      <c r="W42" s="10">
        <v>0.71875</v>
      </c>
      <c r="X42" s="4">
        <f t="shared" si="15"/>
        <v>996.40368925109931</v>
      </c>
      <c r="Y42" s="4">
        <f t="shared" si="16"/>
        <v>1427.5237755236055</v>
      </c>
      <c r="Z42" s="4">
        <f t="shared" si="17"/>
        <v>1102.3449519072271</v>
      </c>
      <c r="AA42" s="4">
        <f t="shared" si="18"/>
        <v>1174.6974198451528</v>
      </c>
      <c r="AB42" s="4">
        <f t="shared" si="19"/>
        <v>1123.5236213301168</v>
      </c>
      <c r="AC42" s="4">
        <f t="shared" si="20"/>
        <v>1338.7602345600246</v>
      </c>
      <c r="AD42" s="4">
        <f t="shared" si="21"/>
        <v>1520.3601375300498</v>
      </c>
      <c r="AG42" s="10">
        <v>0.71875</v>
      </c>
      <c r="AH42" s="4">
        <f t="shared" si="22"/>
        <v>996.40368925109931</v>
      </c>
      <c r="AI42" s="4">
        <f t="shared" si="2"/>
        <v>1427.5237755236055</v>
      </c>
      <c r="AJ42" s="4">
        <f t="shared" si="3"/>
        <v>1102.3449519072271</v>
      </c>
      <c r="AK42" s="4">
        <f t="shared" si="4"/>
        <v>1174.6974198451528</v>
      </c>
      <c r="AL42" s="4">
        <f t="shared" si="5"/>
        <v>1123.5236213301168</v>
      </c>
      <c r="AM42" s="4">
        <f t="shared" si="6"/>
        <v>1338.7602345600246</v>
      </c>
      <c r="AN42" s="4">
        <f t="shared" si="7"/>
        <v>1520.3601375300498</v>
      </c>
    </row>
    <row r="43" spans="1:40" ht="15.6" x14ac:dyDescent="0.3">
      <c r="A43" s="10">
        <v>0.72916666666666663</v>
      </c>
      <c r="B43" s="6">
        <v>1605.125</v>
      </c>
      <c r="C43" s="6">
        <v>1366.375</v>
      </c>
      <c r="D43" s="6">
        <v>1555.4</v>
      </c>
      <c r="E43" s="6">
        <v>1419.5</v>
      </c>
      <c r="F43" s="6">
        <v>1301.9000000000001</v>
      </c>
      <c r="G43" s="6">
        <v>1375.875</v>
      </c>
      <c r="H43" s="6">
        <v>1007.125</v>
      </c>
      <c r="K43" s="10">
        <v>0.72916666666666663</v>
      </c>
      <c r="L43" s="11">
        <f t="shared" si="8"/>
        <v>1.2739622784835305</v>
      </c>
      <c r="M43" s="11">
        <f t="shared" si="9"/>
        <v>1.1175954774669346</v>
      </c>
      <c r="N43" s="11">
        <f t="shared" si="10"/>
        <v>1.2319601850137802</v>
      </c>
      <c r="O43" s="11">
        <f t="shared" si="11"/>
        <v>1.090223152891912</v>
      </c>
      <c r="P43" s="11">
        <f t="shared" si="12"/>
        <v>1.0362683696648556</v>
      </c>
      <c r="Q43" s="11">
        <f t="shared" si="13"/>
        <v>0.99672367392832995</v>
      </c>
      <c r="R43" s="11">
        <f t="shared" si="14"/>
        <v>0.8639798109514838</v>
      </c>
      <c r="W43" s="10">
        <v>0.72916666666666663</v>
      </c>
      <c r="X43" s="4">
        <f t="shared" si="15"/>
        <v>1538.2086768061274</v>
      </c>
      <c r="Y43" s="4">
        <f t="shared" si="16"/>
        <v>1309.4119652805682</v>
      </c>
      <c r="Z43" s="4">
        <f t="shared" si="17"/>
        <v>1490.5566706046261</v>
      </c>
      <c r="AA43" s="4">
        <f t="shared" si="18"/>
        <v>1360.3222283163602</v>
      </c>
      <c r="AB43" s="4">
        <f t="shared" si="19"/>
        <v>1247.6248742832474</v>
      </c>
      <c r="AC43" s="4">
        <f t="shared" si="20"/>
        <v>1318.5159181999097</v>
      </c>
      <c r="AD43" s="4">
        <f t="shared" si="21"/>
        <v>965.13879830441294</v>
      </c>
      <c r="AG43" s="10">
        <v>0.72916666666666663</v>
      </c>
      <c r="AH43" s="4">
        <f t="shared" si="22"/>
        <v>1538.2086768061274</v>
      </c>
      <c r="AI43" s="4">
        <f t="shared" si="2"/>
        <v>1309.4119652805682</v>
      </c>
      <c r="AJ43" s="4">
        <f t="shared" si="3"/>
        <v>1490.5566706046261</v>
      </c>
      <c r="AK43" s="4">
        <f t="shared" si="4"/>
        <v>1360.3222283163602</v>
      </c>
      <c r="AL43" s="4">
        <f t="shared" si="5"/>
        <v>1247.6248742832474</v>
      </c>
      <c r="AM43" s="4">
        <f t="shared" si="6"/>
        <v>1318.5159181999097</v>
      </c>
      <c r="AN43" s="4">
        <f t="shared" si="7"/>
        <v>965.13879830441294</v>
      </c>
    </row>
    <row r="44" spans="1:40" ht="15.6" x14ac:dyDescent="0.3">
      <c r="A44" s="10">
        <v>0.73958333333333337</v>
      </c>
      <c r="B44" s="6">
        <v>1478.25</v>
      </c>
      <c r="C44" s="6">
        <v>1170.5</v>
      </c>
      <c r="D44" s="6">
        <v>1553.1</v>
      </c>
      <c r="E44" s="6">
        <v>1552.7</v>
      </c>
      <c r="F44" s="6">
        <v>1864.2</v>
      </c>
      <c r="G44" s="6">
        <v>1964.25</v>
      </c>
      <c r="H44" s="6">
        <v>1226.125</v>
      </c>
      <c r="K44" s="10">
        <v>0.73958333333333337</v>
      </c>
      <c r="L44" s="11">
        <f t="shared" si="8"/>
        <v>1.1732636013819975</v>
      </c>
      <c r="M44" s="11">
        <f t="shared" si="9"/>
        <v>0.95738395855826319</v>
      </c>
      <c r="N44" s="11">
        <f t="shared" si="10"/>
        <v>1.2301384617107509</v>
      </c>
      <c r="O44" s="11">
        <f t="shared" si="11"/>
        <v>1.1925251775239676</v>
      </c>
      <c r="P44" s="11">
        <f t="shared" si="12"/>
        <v>1.4838401526455363</v>
      </c>
      <c r="Q44" s="11">
        <f t="shared" si="13"/>
        <v>1.4229595541119087</v>
      </c>
      <c r="R44" s="11">
        <f t="shared" si="14"/>
        <v>1.0518527945417779</v>
      </c>
      <c r="W44" s="10">
        <v>0.73958333333333337</v>
      </c>
      <c r="X44" s="4">
        <f t="shared" si="15"/>
        <v>1416.6229897912358</v>
      </c>
      <c r="Y44" s="4">
        <f t="shared" si="16"/>
        <v>1121.7028307462483</v>
      </c>
      <c r="Z44" s="4">
        <f t="shared" si="17"/>
        <v>1488.3525556873119</v>
      </c>
      <c r="AA44" s="4">
        <f t="shared" si="18"/>
        <v>1487.969231353866</v>
      </c>
      <c r="AB44" s="4">
        <f t="shared" si="19"/>
        <v>1786.4830560249095</v>
      </c>
      <c r="AC44" s="4">
        <f t="shared" si="20"/>
        <v>1882.3620549280809</v>
      </c>
      <c r="AD44" s="4">
        <f t="shared" si="21"/>
        <v>1175.0088708660776</v>
      </c>
      <c r="AG44" s="10">
        <v>0.73958333333333337</v>
      </c>
      <c r="AH44" s="4">
        <f t="shared" si="22"/>
        <v>1416.6229897912358</v>
      </c>
      <c r="AI44" s="4">
        <f t="shared" si="2"/>
        <v>1121.7028307462483</v>
      </c>
      <c r="AJ44" s="4">
        <f t="shared" si="3"/>
        <v>1488.3525556873119</v>
      </c>
      <c r="AK44" s="4">
        <f t="shared" si="4"/>
        <v>1487.969231353866</v>
      </c>
      <c r="AL44" s="4">
        <f t="shared" si="5"/>
        <v>1786.4830560249095</v>
      </c>
      <c r="AM44" s="4">
        <f t="shared" si="6"/>
        <v>1882.3620549280809</v>
      </c>
      <c r="AN44" s="4">
        <f t="shared" si="7"/>
        <v>1175.0088708660776</v>
      </c>
    </row>
    <row r="45" spans="1:40" ht="15.6" x14ac:dyDescent="0.3">
      <c r="A45" s="10">
        <v>0.75</v>
      </c>
      <c r="B45" s="6">
        <v>1349.75</v>
      </c>
      <c r="C45" s="6">
        <v>1083.125</v>
      </c>
      <c r="D45" s="6">
        <v>1508</v>
      </c>
      <c r="E45" s="6">
        <v>1218.5999999999999</v>
      </c>
      <c r="F45" s="6">
        <v>1482.2</v>
      </c>
      <c r="G45" s="6">
        <v>1514.375</v>
      </c>
      <c r="H45" s="6">
        <v>1369</v>
      </c>
      <c r="K45" s="10">
        <v>0.75</v>
      </c>
      <c r="L45" s="11">
        <f t="shared" si="8"/>
        <v>1.0712751875294106</v>
      </c>
      <c r="M45" s="11">
        <f t="shared" si="9"/>
        <v>0.88591755669664141</v>
      </c>
      <c r="N45" s="11">
        <f t="shared" si="10"/>
        <v>1.1944168438991773</v>
      </c>
      <c r="O45" s="11">
        <f t="shared" si="11"/>
        <v>0.93592527940407466</v>
      </c>
      <c r="P45" s="11">
        <f t="shared" si="12"/>
        <v>1.1797810719081718</v>
      </c>
      <c r="Q45" s="11">
        <f t="shared" si="13"/>
        <v>1.0970570827329624</v>
      </c>
      <c r="R45" s="11">
        <f t="shared" si="14"/>
        <v>1.1744206143155829</v>
      </c>
      <c r="W45" s="10">
        <v>0.75</v>
      </c>
      <c r="X45" s="4">
        <f t="shared" si="15"/>
        <v>1293.4800476717205</v>
      </c>
      <c r="Y45" s="4">
        <f t="shared" si="16"/>
        <v>1037.9704216591458</v>
      </c>
      <c r="Z45" s="4">
        <f t="shared" si="17"/>
        <v>1445.1327370912795</v>
      </c>
      <c r="AA45" s="4">
        <f t="shared" si="18"/>
        <v>1167.7975818431255</v>
      </c>
      <c r="AB45" s="4">
        <f t="shared" si="19"/>
        <v>1420.4083175840151</v>
      </c>
      <c r="AC45" s="4">
        <f t="shared" si="20"/>
        <v>1451.2419686555745</v>
      </c>
      <c r="AD45" s="4">
        <f t="shared" si="21"/>
        <v>1311.9275312188074</v>
      </c>
      <c r="AG45" s="10">
        <v>0.75</v>
      </c>
      <c r="AH45" s="4">
        <f t="shared" si="22"/>
        <v>1293.4800476717205</v>
      </c>
      <c r="AI45" s="4">
        <f t="shared" si="2"/>
        <v>1037.9704216591458</v>
      </c>
      <c r="AJ45" s="4">
        <f t="shared" si="3"/>
        <v>1445.1327370912795</v>
      </c>
      <c r="AK45" s="4">
        <f t="shared" si="4"/>
        <v>1167.7975818431255</v>
      </c>
      <c r="AL45" s="4">
        <f t="shared" si="5"/>
        <v>1420.4083175840151</v>
      </c>
      <c r="AM45" s="4">
        <f t="shared" si="6"/>
        <v>1451.2419686555745</v>
      </c>
      <c r="AN45" s="4">
        <f t="shared" si="7"/>
        <v>1311.9275312188074</v>
      </c>
    </row>
    <row r="46" spans="1:40" ht="15.6" x14ac:dyDescent="0.3">
      <c r="A46" s="10">
        <v>0.76041666666666663</v>
      </c>
      <c r="B46" s="6">
        <v>1363.125</v>
      </c>
      <c r="C46" s="6">
        <v>1462.25</v>
      </c>
      <c r="D46" s="6">
        <v>1270.9000000000001</v>
      </c>
      <c r="E46" s="6">
        <v>1140.5</v>
      </c>
      <c r="F46" s="6">
        <v>1775.2</v>
      </c>
      <c r="G46" s="6">
        <v>1428.125</v>
      </c>
      <c r="H46" s="6">
        <v>1346.125</v>
      </c>
      <c r="K46" s="10">
        <v>0.76041666666666663</v>
      </c>
      <c r="L46" s="11">
        <f t="shared" si="8"/>
        <v>1.0818907130957791</v>
      </c>
      <c r="M46" s="11">
        <f t="shared" si="9"/>
        <v>1.1960142617700302</v>
      </c>
      <c r="N46" s="11">
        <f t="shared" si="10"/>
        <v>1.0066209329651623</v>
      </c>
      <c r="O46" s="11">
        <f t="shared" si="11"/>
        <v>0.87594188508152571</v>
      </c>
      <c r="P46" s="11">
        <f t="shared" si="12"/>
        <v>1.41299916263081</v>
      </c>
      <c r="Q46" s="11">
        <f t="shared" si="13"/>
        <v>1.0345750862752039</v>
      </c>
      <c r="R46" s="11">
        <f t="shared" si="14"/>
        <v>1.1547968951391994</v>
      </c>
      <c r="W46" s="10">
        <v>0.76041666666666663</v>
      </c>
      <c r="X46" s="4">
        <f t="shared" si="15"/>
        <v>1306.2974550713197</v>
      </c>
      <c r="Y46" s="4">
        <f t="shared" si="16"/>
        <v>1401.2900164533976</v>
      </c>
      <c r="Z46" s="4">
        <f t="shared" si="17"/>
        <v>1217.9172384411852</v>
      </c>
      <c r="AA46" s="4">
        <f t="shared" si="18"/>
        <v>1092.9535057378014</v>
      </c>
      <c r="AB46" s="4">
        <f t="shared" si="19"/>
        <v>1701.1933918331829</v>
      </c>
      <c r="AC46" s="4">
        <f t="shared" si="20"/>
        <v>1368.5876592562886</v>
      </c>
      <c r="AD46" s="4">
        <f t="shared" si="21"/>
        <v>1290.0061708998664</v>
      </c>
      <c r="AG46" s="10">
        <v>0.76041666666666663</v>
      </c>
      <c r="AH46" s="4">
        <f t="shared" si="22"/>
        <v>1306.2974550713197</v>
      </c>
      <c r="AI46" s="4">
        <f t="shared" si="2"/>
        <v>1401.2900164533976</v>
      </c>
      <c r="AJ46" s="4">
        <f t="shared" si="3"/>
        <v>1217.9172384411852</v>
      </c>
      <c r="AK46" s="4">
        <f t="shared" si="4"/>
        <v>1092.9535057378014</v>
      </c>
      <c r="AL46" s="4">
        <f t="shared" si="5"/>
        <v>1701.1933918331829</v>
      </c>
      <c r="AM46" s="4">
        <f t="shared" si="6"/>
        <v>1368.5876592562886</v>
      </c>
      <c r="AN46" s="4">
        <f t="shared" si="7"/>
        <v>1290.0061708998664</v>
      </c>
    </row>
    <row r="47" spans="1:40" ht="15.6" x14ac:dyDescent="0.3">
      <c r="A47" s="10">
        <v>0.77083333333333337</v>
      </c>
      <c r="B47" s="6">
        <v>1391.125</v>
      </c>
      <c r="C47" s="6">
        <v>1555.375</v>
      </c>
      <c r="D47" s="6">
        <v>1399.4</v>
      </c>
      <c r="E47" s="6">
        <v>1378</v>
      </c>
      <c r="F47" s="6">
        <v>1367.4</v>
      </c>
      <c r="G47" s="6">
        <v>1188.875</v>
      </c>
      <c r="H47" s="6">
        <v>1482.25</v>
      </c>
      <c r="K47" s="10">
        <v>0.77083333333333337</v>
      </c>
      <c r="L47" s="11">
        <f t="shared" si="8"/>
        <v>1.1041138694216346</v>
      </c>
      <c r="M47" s="11">
        <f t="shared" si="9"/>
        <v>1.2721837458714724</v>
      </c>
      <c r="N47" s="11">
        <f t="shared" si="10"/>
        <v>1.1083998218517963</v>
      </c>
      <c r="O47" s="11">
        <f t="shared" si="11"/>
        <v>1.0583497743466395</v>
      </c>
      <c r="P47" s="11">
        <f t="shared" si="12"/>
        <v>1.0884041544509744</v>
      </c>
      <c r="Q47" s="11">
        <f t="shared" si="13"/>
        <v>0.8612554613184652</v>
      </c>
      <c r="R47" s="11">
        <f t="shared" si="14"/>
        <v>1.2715741092543993</v>
      </c>
      <c r="W47" s="10">
        <v>0.77083333333333337</v>
      </c>
      <c r="X47" s="4">
        <f t="shared" si="15"/>
        <v>1333.1301584125372</v>
      </c>
      <c r="Y47" s="4">
        <f t="shared" si="16"/>
        <v>1490.5327128337856</v>
      </c>
      <c r="Z47" s="4">
        <f t="shared" si="17"/>
        <v>1341.0601805607007</v>
      </c>
      <c r="AA47" s="4">
        <f t="shared" si="18"/>
        <v>1320.5523287213416</v>
      </c>
      <c r="AB47" s="4">
        <f t="shared" si="19"/>
        <v>1310.3942338850238</v>
      </c>
      <c r="AC47" s="4">
        <f t="shared" si="20"/>
        <v>1139.3117923139223</v>
      </c>
      <c r="AD47" s="4">
        <f t="shared" si="21"/>
        <v>1420.4562331256957</v>
      </c>
      <c r="AG47" s="10">
        <v>0.77083333333333337</v>
      </c>
      <c r="AH47" s="4">
        <f t="shared" si="22"/>
        <v>1333.1301584125372</v>
      </c>
      <c r="AI47" s="4">
        <f t="shared" si="2"/>
        <v>1490.5327128337856</v>
      </c>
      <c r="AJ47" s="4">
        <f t="shared" si="3"/>
        <v>1341.0601805607007</v>
      </c>
      <c r="AK47" s="4">
        <f t="shared" si="4"/>
        <v>1320.5523287213416</v>
      </c>
      <c r="AL47" s="4">
        <f t="shared" si="5"/>
        <v>1310.3942338850238</v>
      </c>
      <c r="AM47" s="4">
        <f t="shared" si="6"/>
        <v>1139.3117923139223</v>
      </c>
      <c r="AN47" s="4">
        <f t="shared" si="7"/>
        <v>1420.4562331256957</v>
      </c>
    </row>
    <row r="48" spans="1:40" ht="15.6" x14ac:dyDescent="0.3">
      <c r="A48" s="10">
        <v>0.78125</v>
      </c>
      <c r="B48" s="6">
        <v>1423.5</v>
      </c>
      <c r="C48" s="6">
        <v>1668.5</v>
      </c>
      <c r="D48" s="6">
        <v>1317.7</v>
      </c>
      <c r="E48" s="6">
        <v>1417.5</v>
      </c>
      <c r="F48" s="6">
        <v>1705.2</v>
      </c>
      <c r="G48" s="6">
        <v>1981.625</v>
      </c>
      <c r="H48" s="6">
        <v>1426.125</v>
      </c>
      <c r="K48" s="10">
        <v>0.78125</v>
      </c>
      <c r="L48" s="11">
        <f t="shared" si="8"/>
        <v>1.1298093939234051</v>
      </c>
      <c r="M48" s="11">
        <f t="shared" si="9"/>
        <v>1.36471177689403</v>
      </c>
      <c r="N48" s="11">
        <f t="shared" si="10"/>
        <v>1.0436890419137572</v>
      </c>
      <c r="O48" s="11">
        <f t="shared" si="11"/>
        <v>1.0886870864559952</v>
      </c>
      <c r="P48" s="11">
        <f t="shared" si="12"/>
        <v>1.3572815300349579</v>
      </c>
      <c r="Q48" s="11">
        <f t="shared" si="13"/>
        <v>1.435546507021515</v>
      </c>
      <c r="R48" s="11">
        <f t="shared" si="14"/>
        <v>1.2234262955374802</v>
      </c>
      <c r="W48" s="10">
        <v>0.78125</v>
      </c>
      <c r="X48" s="4">
        <f t="shared" si="15"/>
        <v>1364.1554716508199</v>
      </c>
      <c r="Y48" s="4">
        <f t="shared" si="16"/>
        <v>1598.9416258864719</v>
      </c>
      <c r="Z48" s="4">
        <f t="shared" si="17"/>
        <v>1262.7661854543626</v>
      </c>
      <c r="AA48" s="4">
        <f t="shared" si="18"/>
        <v>1358.4056066491303</v>
      </c>
      <c r="AB48" s="4">
        <f t="shared" si="19"/>
        <v>1634.1116334801393</v>
      </c>
      <c r="AC48" s="4">
        <f t="shared" si="20"/>
        <v>1899.0127056621398</v>
      </c>
      <c r="AD48" s="4">
        <f t="shared" si="21"/>
        <v>1366.6710375890589</v>
      </c>
      <c r="AG48" s="10">
        <v>0.78125</v>
      </c>
      <c r="AH48" s="4">
        <f t="shared" si="22"/>
        <v>1364.1554716508199</v>
      </c>
      <c r="AI48" s="4">
        <f t="shared" si="2"/>
        <v>1598.9416258864719</v>
      </c>
      <c r="AJ48" s="4">
        <f t="shared" si="3"/>
        <v>1262.7661854543626</v>
      </c>
      <c r="AK48" s="4">
        <f t="shared" si="4"/>
        <v>1358.4056066491303</v>
      </c>
      <c r="AL48" s="4">
        <f t="shared" si="5"/>
        <v>1634.1116334801393</v>
      </c>
      <c r="AM48" s="4">
        <f t="shared" si="6"/>
        <v>1899.0127056621398</v>
      </c>
      <c r="AN48" s="4">
        <f t="shared" si="7"/>
        <v>1366.6710375890589</v>
      </c>
    </row>
    <row r="49" spans="1:40" ht="15.6" x14ac:dyDescent="0.3">
      <c r="A49" s="10">
        <v>0.79166666666666663</v>
      </c>
      <c r="B49" s="6">
        <v>1454.125</v>
      </c>
      <c r="C49" s="6">
        <v>1593.625</v>
      </c>
      <c r="D49" s="6">
        <v>1483.4</v>
      </c>
      <c r="E49" s="6">
        <v>1469.8</v>
      </c>
      <c r="F49" s="6">
        <v>1591.8</v>
      </c>
      <c r="G49" s="6">
        <v>1366.5</v>
      </c>
      <c r="H49" s="6">
        <v>1251</v>
      </c>
      <c r="K49" s="10">
        <v>0.79166666666666663</v>
      </c>
      <c r="L49" s="11">
        <f t="shared" si="8"/>
        <v>1.1541159711548095</v>
      </c>
      <c r="M49" s="11">
        <f t="shared" si="9"/>
        <v>1.3034694668581053</v>
      </c>
      <c r="N49" s="11">
        <f t="shared" si="10"/>
        <v>1.1749323250928645</v>
      </c>
      <c r="O49" s="11">
        <f t="shared" si="11"/>
        <v>1.1288552237552183</v>
      </c>
      <c r="P49" s="11">
        <f t="shared" si="12"/>
        <v>1.2670189652296773</v>
      </c>
      <c r="Q49" s="11">
        <f t="shared" si="13"/>
        <v>0.98993215257422584</v>
      </c>
      <c r="R49" s="11">
        <f t="shared" si="14"/>
        <v>1.0731922487281185</v>
      </c>
      <c r="W49" s="10">
        <v>0.79166666666666663</v>
      </c>
      <c r="X49" s="4">
        <f t="shared" si="15"/>
        <v>1393.5037409302763</v>
      </c>
      <c r="Y49" s="4">
        <f t="shared" si="16"/>
        <v>1527.188102219556</v>
      </c>
      <c r="Z49" s="4">
        <f t="shared" si="17"/>
        <v>1421.5582905843528</v>
      </c>
      <c r="AA49" s="4">
        <f t="shared" si="18"/>
        <v>1408.5252632471902</v>
      </c>
      <c r="AB49" s="4">
        <f t="shared" si="19"/>
        <v>1525.4391849482088</v>
      </c>
      <c r="AC49" s="4">
        <f t="shared" si="20"/>
        <v>1309.5317541347702</v>
      </c>
      <c r="AD49" s="4">
        <f t="shared" si="21"/>
        <v>1198.8468528522485</v>
      </c>
      <c r="AG49" s="10">
        <v>0.79166666666666663</v>
      </c>
      <c r="AH49" s="4">
        <f t="shared" si="22"/>
        <v>1393.5037409302763</v>
      </c>
      <c r="AI49" s="4">
        <f t="shared" si="2"/>
        <v>1527.188102219556</v>
      </c>
      <c r="AJ49" s="4">
        <f t="shared" si="3"/>
        <v>1421.5582905843528</v>
      </c>
      <c r="AK49" s="4">
        <f t="shared" si="4"/>
        <v>1408.5252632471902</v>
      </c>
      <c r="AL49" s="4">
        <f t="shared" si="5"/>
        <v>1525.4391849482088</v>
      </c>
      <c r="AM49" s="4">
        <f t="shared" si="6"/>
        <v>1309.5317541347702</v>
      </c>
      <c r="AN49" s="4">
        <f t="shared" si="7"/>
        <v>1198.8468528522485</v>
      </c>
    </row>
    <row r="50" spans="1:40" ht="15.6" x14ac:dyDescent="0.3">
      <c r="A50" s="10">
        <v>0.80208333333333337</v>
      </c>
      <c r="B50" s="6">
        <v>1449.75</v>
      </c>
      <c r="C50" s="6">
        <v>1424</v>
      </c>
      <c r="D50" s="6">
        <v>1862.5</v>
      </c>
      <c r="E50" s="6">
        <v>1359.5</v>
      </c>
      <c r="F50" s="6">
        <v>1626.8</v>
      </c>
      <c r="G50" s="6">
        <v>1444.75</v>
      </c>
      <c r="H50" s="6">
        <v>1111.5</v>
      </c>
      <c r="K50" s="10">
        <v>0.80208333333333337</v>
      </c>
      <c r="L50" s="11">
        <f t="shared" si="8"/>
        <v>1.1506436029788947</v>
      </c>
      <c r="M50" s="11">
        <f t="shared" si="9"/>
        <v>1.1647285407833974</v>
      </c>
      <c r="N50" s="11">
        <f t="shared" si="10"/>
        <v>1.4751998486486855</v>
      </c>
      <c r="O50" s="11">
        <f t="shared" si="11"/>
        <v>1.0441411598144097</v>
      </c>
      <c r="P50" s="11">
        <f t="shared" si="12"/>
        <v>1.2948777815276034</v>
      </c>
      <c r="Q50" s="11">
        <f t="shared" si="13"/>
        <v>1.0466187174764821</v>
      </c>
      <c r="R50" s="11">
        <f t="shared" si="14"/>
        <v>0.95351973178361593</v>
      </c>
      <c r="W50" s="10">
        <v>0.80208333333333337</v>
      </c>
      <c r="X50" s="4">
        <f t="shared" si="15"/>
        <v>1389.3111310332113</v>
      </c>
      <c r="Y50" s="4">
        <f t="shared" si="16"/>
        <v>1364.6346270676272</v>
      </c>
      <c r="Z50" s="4">
        <f t="shared" si="17"/>
        <v>1784.8539276077638</v>
      </c>
      <c r="AA50" s="4">
        <f t="shared" si="18"/>
        <v>1302.8235782994659</v>
      </c>
      <c r="AB50" s="4">
        <f t="shared" si="19"/>
        <v>1558.9800641247305</v>
      </c>
      <c r="AC50" s="4">
        <f t="shared" si="20"/>
        <v>1384.5195768651365</v>
      </c>
      <c r="AD50" s="4">
        <f t="shared" si="21"/>
        <v>1065.1624915629689</v>
      </c>
      <c r="AG50" s="10">
        <v>0.80208333333333337</v>
      </c>
      <c r="AH50" s="4">
        <f t="shared" si="22"/>
        <v>1389.3111310332113</v>
      </c>
      <c r="AI50" s="4">
        <f t="shared" si="2"/>
        <v>1364.6346270676272</v>
      </c>
      <c r="AJ50" s="4">
        <f t="shared" si="3"/>
        <v>1784.8539276077638</v>
      </c>
      <c r="AK50" s="4">
        <f t="shared" si="4"/>
        <v>1302.8235782994659</v>
      </c>
      <c r="AL50" s="4">
        <f t="shared" si="5"/>
        <v>1558.9800641247305</v>
      </c>
      <c r="AM50" s="4">
        <f t="shared" si="6"/>
        <v>1384.5195768651365</v>
      </c>
      <c r="AN50" s="4">
        <f t="shared" si="7"/>
        <v>1065.1624915629689</v>
      </c>
    </row>
    <row r="51" spans="1:40" ht="15.6" x14ac:dyDescent="0.3">
      <c r="A51" s="10">
        <v>0.8125</v>
      </c>
      <c r="B51" s="6">
        <v>1365.875</v>
      </c>
      <c r="C51" s="6">
        <v>1192.25</v>
      </c>
      <c r="D51" s="6">
        <v>1270.5</v>
      </c>
      <c r="E51" s="6">
        <v>1319.7</v>
      </c>
      <c r="F51" s="6">
        <v>1378.3</v>
      </c>
      <c r="G51" s="6">
        <v>2985.125</v>
      </c>
      <c r="H51" s="6">
        <v>2041</v>
      </c>
      <c r="K51" s="10">
        <v>0.8125</v>
      </c>
      <c r="L51" s="11">
        <f t="shared" si="8"/>
        <v>1.0840733445206399</v>
      </c>
      <c r="M51" s="11">
        <f t="shared" si="9"/>
        <v>0.97517387833497593</v>
      </c>
      <c r="N51" s="11">
        <f t="shared" si="10"/>
        <v>1.0063041115211571</v>
      </c>
      <c r="O51" s="11">
        <f t="shared" si="11"/>
        <v>1.0135734377396663</v>
      </c>
      <c r="P51" s="11">
        <f t="shared" si="12"/>
        <v>1.0970801858123282</v>
      </c>
      <c r="Q51" s="11">
        <f t="shared" si="13"/>
        <v>2.1625109527648267</v>
      </c>
      <c r="R51" s="11">
        <f t="shared" si="14"/>
        <v>1.7509075776611427</v>
      </c>
      <c r="W51" s="10">
        <v>0.8125</v>
      </c>
      <c r="X51" s="4">
        <f t="shared" si="15"/>
        <v>1308.9328098637607</v>
      </c>
      <c r="Y51" s="4">
        <f t="shared" si="16"/>
        <v>1142.5460913773727</v>
      </c>
      <c r="Z51" s="4">
        <f t="shared" si="17"/>
        <v>1217.5339141077391</v>
      </c>
      <c r="AA51" s="4">
        <f t="shared" si="18"/>
        <v>1264.6828071215925</v>
      </c>
      <c r="AB51" s="4">
        <f t="shared" si="19"/>
        <v>1320.8398219714261</v>
      </c>
      <c r="AC51" s="4">
        <f t="shared" si="20"/>
        <v>2860.6776271946987</v>
      </c>
      <c r="AD51" s="4">
        <f t="shared" si="21"/>
        <v>1955.9124114080246</v>
      </c>
      <c r="AG51" s="10">
        <v>0.8125</v>
      </c>
      <c r="AH51" s="4">
        <f t="shared" si="22"/>
        <v>1308.9328098637607</v>
      </c>
      <c r="AI51" s="4">
        <f t="shared" si="2"/>
        <v>1142.5460913773727</v>
      </c>
      <c r="AJ51" s="4">
        <f t="shared" si="3"/>
        <v>1217.5339141077391</v>
      </c>
      <c r="AK51" s="4">
        <f t="shared" si="4"/>
        <v>1264.6828071215925</v>
      </c>
      <c r="AL51" s="4">
        <f t="shared" si="5"/>
        <v>1320.8398219714261</v>
      </c>
      <c r="AM51" s="4">
        <f t="shared" si="6"/>
        <v>2860.6776271946987</v>
      </c>
      <c r="AN51" s="4">
        <f t="shared" si="7"/>
        <v>1955.9124114080246</v>
      </c>
    </row>
    <row r="52" spans="1:40" ht="15.6" x14ac:dyDescent="0.3">
      <c r="A52" s="10">
        <v>0.82291666666666663</v>
      </c>
      <c r="B52" s="6">
        <v>1083</v>
      </c>
      <c r="C52" s="6">
        <v>1130.5</v>
      </c>
      <c r="D52" s="6">
        <v>1435.4</v>
      </c>
      <c r="E52" s="6">
        <v>1786.5</v>
      </c>
      <c r="F52" s="6">
        <v>1331.5</v>
      </c>
      <c r="G52" s="6">
        <v>2103.875</v>
      </c>
      <c r="H52" s="6">
        <v>1465.25</v>
      </c>
      <c r="K52" s="10">
        <v>0.82291666666666663</v>
      </c>
      <c r="L52" s="11">
        <f t="shared" si="8"/>
        <v>0.85955993931791197</v>
      </c>
      <c r="M52" s="11">
        <f t="shared" si="9"/>
        <v>0.92466686471603288</v>
      </c>
      <c r="N52" s="11">
        <f t="shared" si="10"/>
        <v>1.1369137518122541</v>
      </c>
      <c r="O52" s="11">
        <f t="shared" si="11"/>
        <v>1.3720913438826354</v>
      </c>
      <c r="P52" s="11">
        <f t="shared" si="12"/>
        <v>1.0598289685911015</v>
      </c>
      <c r="Q52" s="11">
        <f t="shared" si="13"/>
        <v>1.5241079454790336</v>
      </c>
      <c r="R52" s="11">
        <f t="shared" si="14"/>
        <v>1.2569903616697646</v>
      </c>
      <c r="W52" s="10">
        <v>0.82291666666666663</v>
      </c>
      <c r="X52" s="4">
        <f t="shared" si="15"/>
        <v>1037.8506328049441</v>
      </c>
      <c r="Y52" s="4">
        <f t="shared" si="16"/>
        <v>1083.3703974016521</v>
      </c>
      <c r="Z52" s="4">
        <f t="shared" si="17"/>
        <v>1375.5593705708372</v>
      </c>
      <c r="AA52" s="4">
        <f t="shared" si="18"/>
        <v>1712.0223042530313</v>
      </c>
      <c r="AB52" s="4">
        <f t="shared" si="19"/>
        <v>1275.9908749582485</v>
      </c>
      <c r="AC52" s="4">
        <f t="shared" si="20"/>
        <v>2016.166205071562</v>
      </c>
      <c r="AD52" s="4">
        <f t="shared" si="21"/>
        <v>1404.1649489542422</v>
      </c>
      <c r="AG52" s="10">
        <v>0.82291666666666663</v>
      </c>
      <c r="AH52" s="4">
        <f t="shared" si="22"/>
        <v>1037.8506328049441</v>
      </c>
      <c r="AI52" s="4">
        <f t="shared" si="2"/>
        <v>1083.3703974016521</v>
      </c>
      <c r="AJ52" s="4">
        <f t="shared" si="3"/>
        <v>1375.5593705708372</v>
      </c>
      <c r="AK52" s="4">
        <f t="shared" si="4"/>
        <v>1712.0223042530313</v>
      </c>
      <c r="AL52" s="4">
        <f t="shared" si="5"/>
        <v>1275.9908749582485</v>
      </c>
      <c r="AM52" s="4">
        <f t="shared" si="6"/>
        <v>2016.166205071562</v>
      </c>
      <c r="AN52" s="4">
        <f t="shared" si="7"/>
        <v>1404.1649489542422</v>
      </c>
    </row>
    <row r="53" spans="1:40" ht="15.6" x14ac:dyDescent="0.3">
      <c r="A53" s="10">
        <v>0.83333333333333337</v>
      </c>
      <c r="B53" s="6">
        <v>1239.75</v>
      </c>
      <c r="C53" s="6">
        <v>1171.75</v>
      </c>
      <c r="D53" s="6">
        <v>1377.7</v>
      </c>
      <c r="E53" s="6">
        <v>1625.6</v>
      </c>
      <c r="F53" s="6">
        <v>1222.9000000000001</v>
      </c>
      <c r="G53" s="6">
        <v>1713.375</v>
      </c>
      <c r="H53" s="6">
        <v>1089.625</v>
      </c>
      <c r="K53" s="10">
        <v>0.83333333333333337</v>
      </c>
      <c r="L53" s="11">
        <f t="shared" si="8"/>
        <v>0.98396993053497817</v>
      </c>
      <c r="M53" s="11">
        <f t="shared" si="9"/>
        <v>0.95840636774083288</v>
      </c>
      <c r="N53" s="11">
        <f t="shared" si="10"/>
        <v>1.0912122585145203</v>
      </c>
      <c r="O53" s="11">
        <f t="shared" si="11"/>
        <v>1.2485147991131329</v>
      </c>
      <c r="P53" s="11">
        <f t="shared" si="12"/>
        <v>0.97338704144953669</v>
      </c>
      <c r="Q53" s="11">
        <f t="shared" si="13"/>
        <v>1.2412184426760806</v>
      </c>
      <c r="R53" s="11">
        <f t="shared" si="14"/>
        <v>0.93475388011221106</v>
      </c>
      <c r="W53" s="10">
        <v>0.83333333333333337</v>
      </c>
      <c r="X53" s="4">
        <f t="shared" si="15"/>
        <v>1188.0658559740807</v>
      </c>
      <c r="Y53" s="4">
        <f t="shared" si="16"/>
        <v>1122.9007192882671</v>
      </c>
      <c r="Z53" s="4">
        <f t="shared" si="17"/>
        <v>1320.2648354712571</v>
      </c>
      <c r="AA53" s="4">
        <f t="shared" si="18"/>
        <v>1557.8300911243925</v>
      </c>
      <c r="AB53" s="4">
        <f t="shared" si="19"/>
        <v>1171.9183184276696</v>
      </c>
      <c r="AC53" s="4">
        <f t="shared" si="20"/>
        <v>1641.9458245449409</v>
      </c>
      <c r="AD53" s="4">
        <f t="shared" si="21"/>
        <v>1044.1994420776427</v>
      </c>
      <c r="AG53" s="10">
        <v>0.83333333333333337</v>
      </c>
      <c r="AH53" s="4">
        <f t="shared" si="22"/>
        <v>1188.0658559740807</v>
      </c>
      <c r="AI53" s="4">
        <f t="shared" si="2"/>
        <v>1122.9007192882671</v>
      </c>
      <c r="AJ53" s="4">
        <f t="shared" si="3"/>
        <v>1320.2648354712571</v>
      </c>
      <c r="AK53" s="4">
        <f t="shared" si="4"/>
        <v>1557.8300911243925</v>
      </c>
      <c r="AL53" s="4">
        <f t="shared" si="5"/>
        <v>1171.9183184276696</v>
      </c>
      <c r="AM53" s="4">
        <f t="shared" si="6"/>
        <v>1641.9458245449409</v>
      </c>
      <c r="AN53" s="4">
        <f t="shared" si="7"/>
        <v>1044.1994420776427</v>
      </c>
    </row>
    <row r="54" spans="1:40" ht="15.6" x14ac:dyDescent="0.3">
      <c r="A54" s="10">
        <v>0.84375</v>
      </c>
      <c r="B54" s="6">
        <v>1563.75</v>
      </c>
      <c r="C54" s="6">
        <v>1436.375</v>
      </c>
      <c r="D54" s="6">
        <v>1618.7</v>
      </c>
      <c r="E54" s="6">
        <v>1570.3</v>
      </c>
      <c r="F54" s="6">
        <v>1188.8</v>
      </c>
      <c r="G54" s="6">
        <v>1153.375</v>
      </c>
      <c r="H54" s="6">
        <v>1247.75</v>
      </c>
      <c r="K54" s="10">
        <v>0.84375</v>
      </c>
      <c r="L54" s="11">
        <f t="shared" si="8"/>
        <v>1.2411235965913063</v>
      </c>
      <c r="M54" s="11">
        <f t="shared" si="9"/>
        <v>1.1748503916908375</v>
      </c>
      <c r="N54" s="11">
        <f t="shared" si="10"/>
        <v>1.2820971785275852</v>
      </c>
      <c r="O54" s="11">
        <f t="shared" si="11"/>
        <v>1.2060425621600348</v>
      </c>
      <c r="P54" s="11">
        <f t="shared" si="12"/>
        <v>0.94624459471355726</v>
      </c>
      <c r="Q54" s="11">
        <f t="shared" si="13"/>
        <v>0.83553823379092407</v>
      </c>
      <c r="R54" s="11">
        <f t="shared" si="14"/>
        <v>1.0704041793369383</v>
      </c>
      <c r="W54" s="10">
        <v>0.84375</v>
      </c>
      <c r="X54" s="4">
        <f t="shared" si="15"/>
        <v>1498.5585660653103</v>
      </c>
      <c r="Y54" s="4">
        <f t="shared" si="16"/>
        <v>1376.4937236336118</v>
      </c>
      <c r="Z54" s="4">
        <f t="shared" si="17"/>
        <v>1551.2177463724497</v>
      </c>
      <c r="AA54" s="4">
        <f t="shared" si="18"/>
        <v>1504.8355020254883</v>
      </c>
      <c r="AB54" s="4">
        <f t="shared" si="19"/>
        <v>1139.2399190014014</v>
      </c>
      <c r="AC54" s="4">
        <f t="shared" si="20"/>
        <v>1105.2917577205931</v>
      </c>
      <c r="AD54" s="4">
        <f t="shared" si="21"/>
        <v>1195.732342643</v>
      </c>
      <c r="AG54" s="10">
        <v>0.84375</v>
      </c>
      <c r="AH54" s="4">
        <f t="shared" si="22"/>
        <v>1498.5585660653103</v>
      </c>
      <c r="AI54" s="4">
        <f t="shared" si="2"/>
        <v>1376.4937236336118</v>
      </c>
      <c r="AJ54" s="4">
        <f t="shared" si="3"/>
        <v>1551.2177463724497</v>
      </c>
      <c r="AK54" s="4">
        <f t="shared" si="4"/>
        <v>1504.8355020254883</v>
      </c>
      <c r="AL54" s="4">
        <f t="shared" si="5"/>
        <v>1139.2399190014014</v>
      </c>
      <c r="AM54" s="4">
        <f t="shared" si="6"/>
        <v>1105.2917577205931</v>
      </c>
      <c r="AN54" s="4">
        <f t="shared" si="7"/>
        <v>1195.732342643</v>
      </c>
    </row>
    <row r="55" spans="1:40" ht="15.6" x14ac:dyDescent="0.3">
      <c r="A55" s="10">
        <v>0.85416666666666663</v>
      </c>
      <c r="B55" s="6">
        <v>1222.75</v>
      </c>
      <c r="C55" s="6">
        <v>2504.5</v>
      </c>
      <c r="D55" s="6">
        <v>1689.1</v>
      </c>
      <c r="E55" s="6">
        <v>1383.4</v>
      </c>
      <c r="F55" s="6">
        <v>1340.9</v>
      </c>
      <c r="G55" s="6">
        <v>1261.75</v>
      </c>
      <c r="H55" s="6">
        <v>586.125</v>
      </c>
      <c r="K55" s="10">
        <v>0.85416666666666663</v>
      </c>
      <c r="L55" s="11">
        <f t="shared" si="8"/>
        <v>0.9704772999085659</v>
      </c>
      <c r="M55" s="11">
        <f t="shared" si="9"/>
        <v>2.0484990381966424</v>
      </c>
      <c r="N55" s="11">
        <f t="shared" si="10"/>
        <v>1.3378577526724804</v>
      </c>
      <c r="O55" s="11">
        <f t="shared" si="11"/>
        <v>1.0624971537236148</v>
      </c>
      <c r="P55" s="11">
        <f t="shared" si="12"/>
        <v>1.0673110506825445</v>
      </c>
      <c r="Q55" s="11">
        <f t="shared" si="13"/>
        <v>0.91404822064436841</v>
      </c>
      <c r="R55" s="11">
        <f t="shared" si="14"/>
        <v>0.50281759135553028</v>
      </c>
      <c r="W55" s="10">
        <v>0.85416666666666663</v>
      </c>
      <c r="X55" s="4">
        <f t="shared" si="15"/>
        <v>1171.7745718026272</v>
      </c>
      <c r="Y55" s="4">
        <f t="shared" si="16"/>
        <v>2400.0894827885336</v>
      </c>
      <c r="Z55" s="4">
        <f t="shared" si="17"/>
        <v>1618.6828290589392</v>
      </c>
      <c r="AA55" s="4">
        <f t="shared" si="18"/>
        <v>1325.7272072228623</v>
      </c>
      <c r="AB55" s="4">
        <f t="shared" si="19"/>
        <v>1284.9989967942286</v>
      </c>
      <c r="AC55" s="4">
        <f t="shared" si="20"/>
        <v>1209.1486943136088</v>
      </c>
      <c r="AD55" s="4">
        <f t="shared" si="21"/>
        <v>561.68993735253719</v>
      </c>
      <c r="AG55" s="10">
        <v>0.85416666666666663</v>
      </c>
      <c r="AH55" s="4">
        <f t="shared" si="22"/>
        <v>1171.7745718026272</v>
      </c>
      <c r="AI55" s="4">
        <f t="shared" si="2"/>
        <v>2400.0894827885336</v>
      </c>
      <c r="AJ55" s="4">
        <f t="shared" si="3"/>
        <v>1618.6828290589392</v>
      </c>
      <c r="AK55" s="4">
        <f t="shared" si="4"/>
        <v>1325.7272072228623</v>
      </c>
      <c r="AL55" s="4">
        <f t="shared" si="5"/>
        <v>1284.9989967942286</v>
      </c>
      <c r="AM55" s="4">
        <f t="shared" si="6"/>
        <v>1209.1486943136088</v>
      </c>
      <c r="AN55" s="4">
        <f t="shared" si="7"/>
        <v>561.68993735253719</v>
      </c>
    </row>
    <row r="56" spans="1:40" ht="15.6" x14ac:dyDescent="0.3">
      <c r="A56" s="10">
        <v>0.86458333333333337</v>
      </c>
      <c r="B56" s="6">
        <v>1263.375</v>
      </c>
      <c r="C56" s="6">
        <v>1743</v>
      </c>
      <c r="D56" s="6">
        <v>1940.6</v>
      </c>
      <c r="E56" s="6">
        <v>1693.8</v>
      </c>
      <c r="F56" s="6">
        <v>1484.3</v>
      </c>
      <c r="G56" s="6">
        <v>916.375</v>
      </c>
      <c r="H56" s="6">
        <v>1109.75</v>
      </c>
      <c r="K56" s="10">
        <v>0.86458333333333337</v>
      </c>
      <c r="L56" s="11">
        <f t="shared" si="8"/>
        <v>1.0027207186849187</v>
      </c>
      <c r="M56" s="11">
        <f t="shared" si="9"/>
        <v>1.4256473641751839</v>
      </c>
      <c r="N56" s="11">
        <f t="shared" si="10"/>
        <v>1.5370592355906787</v>
      </c>
      <c r="O56" s="11">
        <f t="shared" si="11"/>
        <v>1.300894664577894</v>
      </c>
      <c r="P56" s="11">
        <f t="shared" si="12"/>
        <v>1.1814526008860473</v>
      </c>
      <c r="Q56" s="11">
        <f t="shared" si="13"/>
        <v>0.6638485739591703</v>
      </c>
      <c r="R56" s="11">
        <f t="shared" si="14"/>
        <v>0.95201846364990361</v>
      </c>
      <c r="W56" s="10">
        <v>0.86458333333333337</v>
      </c>
      <c r="X56" s="4">
        <f t="shared" si="15"/>
        <v>1210.7059494182329</v>
      </c>
      <c r="Y56" s="4">
        <f t="shared" si="16"/>
        <v>1670.3357829907825</v>
      </c>
      <c r="Z56" s="4">
        <f t="shared" si="17"/>
        <v>1859.6980037130882</v>
      </c>
      <c r="AA56" s="4">
        <f t="shared" si="18"/>
        <v>1623.1868899769293</v>
      </c>
      <c r="AB56" s="4">
        <f t="shared" si="19"/>
        <v>1422.4207703346062</v>
      </c>
      <c r="AC56" s="4">
        <f t="shared" si="20"/>
        <v>878.17209015386027</v>
      </c>
      <c r="AD56" s="4">
        <f t="shared" si="21"/>
        <v>1063.4854476041428</v>
      </c>
      <c r="AG56" s="10">
        <v>0.86458333333333337</v>
      </c>
      <c r="AH56" s="4">
        <f t="shared" si="22"/>
        <v>1210.7059494182329</v>
      </c>
      <c r="AI56" s="4">
        <f t="shared" si="2"/>
        <v>1670.3357829907825</v>
      </c>
      <c r="AJ56" s="4">
        <f t="shared" si="3"/>
        <v>1859.6980037130882</v>
      </c>
      <c r="AK56" s="4">
        <f t="shared" si="4"/>
        <v>1623.1868899769293</v>
      </c>
      <c r="AL56" s="4">
        <f t="shared" si="5"/>
        <v>1422.4207703346062</v>
      </c>
      <c r="AM56" s="4">
        <f t="shared" si="6"/>
        <v>878.17209015386027</v>
      </c>
      <c r="AN56" s="4">
        <f t="shared" si="7"/>
        <v>1063.4854476041428</v>
      </c>
    </row>
    <row r="57" spans="1:40" ht="15.6" x14ac:dyDescent="0.3">
      <c r="A57" s="10">
        <v>0.875</v>
      </c>
      <c r="B57" s="6">
        <v>1943</v>
      </c>
      <c r="C57" s="6">
        <v>3174.375</v>
      </c>
      <c r="D57" s="6">
        <v>2198.5</v>
      </c>
      <c r="E57" s="6">
        <v>1342.4</v>
      </c>
      <c r="F57" s="6">
        <v>1226.9000000000001</v>
      </c>
      <c r="G57" s="6">
        <v>585.125</v>
      </c>
      <c r="H57" s="6">
        <v>769.125</v>
      </c>
      <c r="K57" s="10">
        <v>0.875</v>
      </c>
      <c r="L57" s="11">
        <f t="shared" si="8"/>
        <v>1.5421283121834746</v>
      </c>
      <c r="M57" s="11">
        <f t="shared" si="9"/>
        <v>2.5964081191357424</v>
      </c>
      <c r="N57" s="11">
        <f t="shared" si="10"/>
        <v>1.7413298616129584</v>
      </c>
      <c r="O57" s="11">
        <f t="shared" si="11"/>
        <v>1.0310077917873215</v>
      </c>
      <c r="P57" s="11">
        <f t="shared" si="12"/>
        <v>0.97657090616929965</v>
      </c>
      <c r="Q57" s="11">
        <f t="shared" si="13"/>
        <v>0.42388148611415577</v>
      </c>
      <c r="R57" s="11">
        <f t="shared" si="14"/>
        <v>0.65980734476659797</v>
      </c>
      <c r="W57" s="10">
        <v>0.875</v>
      </c>
      <c r="X57" s="4">
        <f t="shared" si="15"/>
        <v>1861.9979497137638</v>
      </c>
      <c r="Y57" s="4">
        <f t="shared" si="16"/>
        <v>3042.0379524563195</v>
      </c>
      <c r="Z57" s="4">
        <f t="shared" si="17"/>
        <v>2106.8463677023724</v>
      </c>
      <c r="AA57" s="4">
        <f t="shared" si="18"/>
        <v>1286.4364630446512</v>
      </c>
      <c r="AB57" s="4">
        <f t="shared" si="19"/>
        <v>1175.7515617621293</v>
      </c>
      <c r="AC57" s="4">
        <f t="shared" si="20"/>
        <v>560.73162651892233</v>
      </c>
      <c r="AD57" s="4">
        <f t="shared" si="21"/>
        <v>737.06081990406517</v>
      </c>
      <c r="AG57" s="10">
        <v>0.875</v>
      </c>
      <c r="AH57" s="4">
        <f t="shared" si="22"/>
        <v>1861.9979497137638</v>
      </c>
      <c r="AI57" s="4">
        <f t="shared" si="2"/>
        <v>3042.0379524563195</v>
      </c>
      <c r="AJ57" s="4">
        <f t="shared" si="3"/>
        <v>2106.8463677023724</v>
      </c>
      <c r="AK57" s="4">
        <f t="shared" si="4"/>
        <v>1286.4364630446512</v>
      </c>
      <c r="AL57" s="4">
        <f t="shared" si="5"/>
        <v>1175.7515617621293</v>
      </c>
      <c r="AM57" s="4">
        <f t="shared" si="6"/>
        <v>560.73162651892233</v>
      </c>
      <c r="AN57" s="4">
        <f t="shared" si="7"/>
        <v>737.06081990406517</v>
      </c>
    </row>
    <row r="58" spans="1:40" ht="15.6" x14ac:dyDescent="0.3">
      <c r="A58" s="10">
        <v>0.88541666666666663</v>
      </c>
      <c r="B58" s="6">
        <v>859.375</v>
      </c>
      <c r="C58" s="6">
        <v>962.875</v>
      </c>
      <c r="D58" s="6">
        <v>1641.4</v>
      </c>
      <c r="E58" s="6">
        <v>1028.4000000000001</v>
      </c>
      <c r="F58" s="6">
        <v>601.6</v>
      </c>
      <c r="G58" s="6">
        <v>542.875</v>
      </c>
      <c r="H58" s="6">
        <v>270</v>
      </c>
      <c r="K58" s="10">
        <v>0.88541666666666663</v>
      </c>
      <c r="L58" s="11">
        <f t="shared" si="8"/>
        <v>0.68207232026900333</v>
      </c>
      <c r="M58" s="11">
        <f t="shared" si="9"/>
        <v>0.78756179333343668</v>
      </c>
      <c r="N58" s="11">
        <f t="shared" si="10"/>
        <v>1.300076795474874</v>
      </c>
      <c r="O58" s="11">
        <f t="shared" si="11"/>
        <v>0.78984536134839201</v>
      </c>
      <c r="P58" s="11">
        <f t="shared" si="12"/>
        <v>0.478853253852352</v>
      </c>
      <c r="Q58" s="11">
        <f t="shared" si="13"/>
        <v>0.39327436321165959</v>
      </c>
      <c r="R58" s="11">
        <f t="shared" si="14"/>
        <v>0.23162422634419821</v>
      </c>
      <c r="W58" s="10">
        <v>0.88541666666666663</v>
      </c>
      <c r="X58" s="4">
        <f t="shared" si="15"/>
        <v>823.54837263781053</v>
      </c>
      <c r="Y58" s="4">
        <f t="shared" si="16"/>
        <v>922.73354391695329</v>
      </c>
      <c r="Z58" s="4">
        <f t="shared" si="17"/>
        <v>1572.9714022955084</v>
      </c>
      <c r="AA58" s="4">
        <f t="shared" si="18"/>
        <v>985.52686128957032</v>
      </c>
      <c r="AB58" s="4">
        <f t="shared" si="19"/>
        <v>576.51979750272801</v>
      </c>
      <c r="AC58" s="4">
        <f t="shared" si="20"/>
        <v>520.24299379869251</v>
      </c>
      <c r="AD58" s="4">
        <f t="shared" si="21"/>
        <v>258.74392507602482</v>
      </c>
      <c r="AG58" s="10">
        <v>0.88541666666666663</v>
      </c>
      <c r="AH58" s="4">
        <f t="shared" si="22"/>
        <v>823.54837263781053</v>
      </c>
      <c r="AI58" s="4">
        <f t="shared" si="2"/>
        <v>922.73354391695329</v>
      </c>
      <c r="AJ58" s="4">
        <f t="shared" si="3"/>
        <v>1572.9714022955084</v>
      </c>
      <c r="AK58" s="4">
        <f t="shared" si="4"/>
        <v>985.52686128957032</v>
      </c>
      <c r="AL58" s="4">
        <f t="shared" si="5"/>
        <v>576.51979750272801</v>
      </c>
      <c r="AM58" s="4">
        <f t="shared" si="6"/>
        <v>520.24299379869251</v>
      </c>
      <c r="AN58" s="4">
        <f t="shared" si="7"/>
        <v>258.74392507602482</v>
      </c>
    </row>
    <row r="59" spans="1:40" ht="15.6" x14ac:dyDescent="0.3">
      <c r="A59" s="10">
        <v>0.89583333333333337</v>
      </c>
      <c r="B59" s="6">
        <v>680</v>
      </c>
      <c r="C59" s="6">
        <v>760</v>
      </c>
      <c r="D59" s="6">
        <v>931.3</v>
      </c>
      <c r="E59" s="6">
        <v>1079</v>
      </c>
      <c r="F59" s="6">
        <v>405.4</v>
      </c>
      <c r="G59" s="6">
        <v>416.5</v>
      </c>
      <c r="H59" s="6">
        <v>108</v>
      </c>
      <c r="K59" s="10">
        <v>0.89583333333333337</v>
      </c>
      <c r="L59" s="11">
        <f t="shared" si="8"/>
        <v>0.53970522505649132</v>
      </c>
      <c r="M59" s="11">
        <f t="shared" si="9"/>
        <v>0.62162478300237511</v>
      </c>
      <c r="N59" s="11">
        <f t="shared" si="10"/>
        <v>0.73763952700484336</v>
      </c>
      <c r="O59" s="11">
        <f t="shared" si="11"/>
        <v>0.82870784217708571</v>
      </c>
      <c r="P59" s="11">
        <f t="shared" si="12"/>
        <v>0.32268468934797789</v>
      </c>
      <c r="Q59" s="11">
        <f t="shared" si="13"/>
        <v>0.3017246553583352</v>
      </c>
      <c r="R59" s="11">
        <f t="shared" si="14"/>
        <v>9.2649690537679283E-2</v>
      </c>
      <c r="W59" s="10">
        <v>0.89583333333333337</v>
      </c>
      <c r="X59" s="4">
        <f t="shared" si="15"/>
        <v>651.65136685813661</v>
      </c>
      <c r="Y59" s="4">
        <f t="shared" si="16"/>
        <v>728.31623354732915</v>
      </c>
      <c r="Z59" s="4">
        <f t="shared" si="17"/>
        <v>892.47487934556261</v>
      </c>
      <c r="AA59" s="4">
        <f t="shared" si="18"/>
        <v>1034.0173894704847</v>
      </c>
      <c r="AB59" s="4">
        <f t="shared" si="19"/>
        <v>388.49921194748327</v>
      </c>
      <c r="AC59" s="4">
        <f t="shared" si="20"/>
        <v>399.13646220060866</v>
      </c>
      <c r="AD59" s="4">
        <f t="shared" si="21"/>
        <v>103.49757003040993</v>
      </c>
      <c r="AG59" s="10">
        <v>0.89583333333333337</v>
      </c>
      <c r="AH59" s="4">
        <f t="shared" si="22"/>
        <v>651.65136685813661</v>
      </c>
      <c r="AI59" s="4">
        <f t="shared" si="2"/>
        <v>728.31623354732915</v>
      </c>
      <c r="AJ59" s="4">
        <f t="shared" si="3"/>
        <v>892.47487934556261</v>
      </c>
      <c r="AK59" s="4">
        <f t="shared" si="4"/>
        <v>1034.0173894704847</v>
      </c>
      <c r="AL59" s="4">
        <f t="shared" si="5"/>
        <v>388.49921194748327</v>
      </c>
      <c r="AM59" s="4">
        <f t="shared" si="6"/>
        <v>399.13646220060866</v>
      </c>
      <c r="AN59" s="4">
        <f t="shared" si="7"/>
        <v>103.49757003040993</v>
      </c>
    </row>
    <row r="60" spans="1:40" ht="15.6" x14ac:dyDescent="0.3">
      <c r="A60" s="10">
        <v>0.90625</v>
      </c>
      <c r="B60" s="6">
        <v>736</v>
      </c>
      <c r="C60" s="6">
        <v>1086.75</v>
      </c>
      <c r="D60" s="6">
        <v>800.1</v>
      </c>
      <c r="E60" s="6">
        <v>403.5</v>
      </c>
      <c r="F60" s="6">
        <v>160.80000000000001</v>
      </c>
      <c r="G60" s="6">
        <v>118.875</v>
      </c>
      <c r="H60" s="6">
        <v>22</v>
      </c>
      <c r="K60" s="10">
        <v>0.90625</v>
      </c>
      <c r="L60" s="11">
        <f t="shared" si="8"/>
        <v>0.58415153770820238</v>
      </c>
      <c r="M60" s="11">
        <f t="shared" si="9"/>
        <v>0.88888254332609351</v>
      </c>
      <c r="N60" s="11">
        <f t="shared" si="10"/>
        <v>0.63372209337117491</v>
      </c>
      <c r="O60" s="11">
        <f t="shared" si="11"/>
        <v>0.30990140344620398</v>
      </c>
      <c r="P60" s="11">
        <f t="shared" si="12"/>
        <v>0.12799136173447176</v>
      </c>
      <c r="Q60" s="11">
        <f t="shared" si="13"/>
        <v>8.6116490770041049E-2</v>
      </c>
      <c r="R60" s="11">
        <f t="shared" si="14"/>
        <v>1.887308510952726E-2</v>
      </c>
      <c r="W60" s="10">
        <v>0.90625</v>
      </c>
      <c r="X60" s="4">
        <f t="shared" si="15"/>
        <v>705.31677354057138</v>
      </c>
      <c r="Y60" s="4">
        <f t="shared" si="16"/>
        <v>1041.4442984309999</v>
      </c>
      <c r="Z60" s="4">
        <f t="shared" si="17"/>
        <v>766.74449797528689</v>
      </c>
      <c r="AA60" s="4">
        <f t="shared" si="18"/>
        <v>386.67842136361497</v>
      </c>
      <c r="AB60" s="4">
        <f t="shared" si="19"/>
        <v>154.09638204527704</v>
      </c>
      <c r="AC60" s="4">
        <f t="shared" si="20"/>
        <v>113.91920034597204</v>
      </c>
      <c r="AD60" s="4">
        <f t="shared" si="21"/>
        <v>21.082838339527946</v>
      </c>
      <c r="AG60" s="10">
        <v>0.90625</v>
      </c>
      <c r="AH60" s="4">
        <f t="shared" si="22"/>
        <v>705.31677354057138</v>
      </c>
      <c r="AI60" s="4">
        <f t="shared" si="2"/>
        <v>1041.4442984309999</v>
      </c>
      <c r="AJ60" s="4">
        <f t="shared" si="3"/>
        <v>766.74449797528689</v>
      </c>
      <c r="AK60" s="4">
        <f t="shared" si="4"/>
        <v>386.67842136361497</v>
      </c>
      <c r="AL60" s="4">
        <f t="shared" si="5"/>
        <v>154.09638204527704</v>
      </c>
      <c r="AM60" s="4">
        <f t="shared" si="6"/>
        <v>113.91920034597204</v>
      </c>
      <c r="AN60" s="4">
        <f t="shared" si="7"/>
        <v>21.082838339527946</v>
      </c>
    </row>
    <row r="61" spans="1:40" ht="15.6" x14ac:dyDescent="0.3">
      <c r="A61" s="10">
        <v>0.91666666666666663</v>
      </c>
      <c r="B61" s="6">
        <v>0</v>
      </c>
      <c r="C61" s="6">
        <v>0</v>
      </c>
      <c r="D61" s="6">
        <v>156.6</v>
      </c>
      <c r="E61" s="6">
        <v>245.2</v>
      </c>
      <c r="F61" s="6">
        <v>6.4</v>
      </c>
      <c r="G61" s="6">
        <v>0</v>
      </c>
      <c r="H61" s="6">
        <v>0</v>
      </c>
      <c r="K61" s="10">
        <v>0.91666666666666663</v>
      </c>
      <c r="L61" s="11">
        <f t="shared" si="8"/>
        <v>0</v>
      </c>
      <c r="M61" s="11">
        <f t="shared" si="9"/>
        <v>0</v>
      </c>
      <c r="N61" s="11">
        <f t="shared" si="10"/>
        <v>0.12403559532799149</v>
      </c>
      <c r="O61" s="11">
        <f t="shared" si="11"/>
        <v>0.18832174504339333</v>
      </c>
      <c r="P61" s="11">
        <f t="shared" si="12"/>
        <v>5.0941835516207659E-3</v>
      </c>
      <c r="Q61" s="11">
        <f t="shared" si="13"/>
        <v>0</v>
      </c>
      <c r="R61" s="11">
        <f t="shared" si="14"/>
        <v>0</v>
      </c>
      <c r="W61" s="10">
        <v>0.91666666666666663</v>
      </c>
      <c r="X61" s="4">
        <f t="shared" si="15"/>
        <v>0</v>
      </c>
      <c r="Y61" s="4">
        <f t="shared" si="16"/>
        <v>0</v>
      </c>
      <c r="Z61" s="4">
        <f t="shared" si="17"/>
        <v>150.07147654409439</v>
      </c>
      <c r="AA61" s="4">
        <f t="shared" si="18"/>
        <v>234.97781640237517</v>
      </c>
      <c r="AB61" s="4">
        <f t="shared" si="19"/>
        <v>6.1331893351354045</v>
      </c>
      <c r="AC61" s="4">
        <f t="shared" si="20"/>
        <v>0</v>
      </c>
      <c r="AD61" s="4">
        <f t="shared" si="21"/>
        <v>0</v>
      </c>
      <c r="AG61" s="10">
        <v>0.91666666666666663</v>
      </c>
      <c r="AH61" s="4">
        <f t="shared" si="22"/>
        <v>0</v>
      </c>
      <c r="AI61" s="4">
        <f t="shared" si="2"/>
        <v>0</v>
      </c>
      <c r="AJ61" s="4">
        <f t="shared" si="3"/>
        <v>150.07147654409439</v>
      </c>
      <c r="AK61" s="4">
        <f t="shared" si="4"/>
        <v>234.97781640237517</v>
      </c>
      <c r="AL61" s="4">
        <f t="shared" si="5"/>
        <v>6.1331893351354045</v>
      </c>
      <c r="AM61" s="4">
        <f t="shared" si="6"/>
        <v>0</v>
      </c>
      <c r="AN61" s="4">
        <f t="shared" si="7"/>
        <v>0</v>
      </c>
    </row>
    <row r="62" spans="1:40" ht="15.6" x14ac:dyDescent="0.3">
      <c r="A62" s="10">
        <v>0.92708333333333337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K62" s="10">
        <v>0.92708333333333337</v>
      </c>
      <c r="L62" s="11">
        <f t="shared" si="8"/>
        <v>0</v>
      </c>
      <c r="M62" s="11">
        <f t="shared" si="9"/>
        <v>0</v>
      </c>
      <c r="N62" s="11">
        <f t="shared" si="10"/>
        <v>0</v>
      </c>
      <c r="O62" s="11">
        <f t="shared" si="11"/>
        <v>0</v>
      </c>
      <c r="P62" s="11">
        <f t="shared" si="12"/>
        <v>0</v>
      </c>
      <c r="Q62" s="11">
        <f t="shared" si="13"/>
        <v>0</v>
      </c>
      <c r="R62" s="11">
        <f t="shared" si="14"/>
        <v>0</v>
      </c>
      <c r="W62" s="10">
        <v>0.92708333333333337</v>
      </c>
      <c r="X62" s="4">
        <f t="shared" si="15"/>
        <v>0</v>
      </c>
      <c r="Y62" s="4">
        <f t="shared" si="16"/>
        <v>0</v>
      </c>
      <c r="Z62" s="4">
        <f t="shared" si="17"/>
        <v>0</v>
      </c>
      <c r="AA62" s="4">
        <f t="shared" si="18"/>
        <v>0</v>
      </c>
      <c r="AB62" s="4">
        <f t="shared" si="19"/>
        <v>0</v>
      </c>
      <c r="AC62" s="4">
        <f t="shared" si="20"/>
        <v>0</v>
      </c>
      <c r="AD62" s="4">
        <f t="shared" si="21"/>
        <v>0</v>
      </c>
      <c r="AG62" s="10">
        <v>0.92708333333333337</v>
      </c>
      <c r="AH62" s="4">
        <f t="shared" si="22"/>
        <v>0</v>
      </c>
      <c r="AI62" s="4">
        <f t="shared" si="2"/>
        <v>0</v>
      </c>
      <c r="AJ62" s="4">
        <f t="shared" si="3"/>
        <v>0</v>
      </c>
      <c r="AK62" s="4">
        <f t="shared" si="4"/>
        <v>0</v>
      </c>
      <c r="AL62" s="4">
        <f t="shared" si="5"/>
        <v>0</v>
      </c>
      <c r="AM62" s="4">
        <f t="shared" si="6"/>
        <v>0</v>
      </c>
      <c r="AN62" s="4">
        <f t="shared" si="7"/>
        <v>0</v>
      </c>
    </row>
    <row r="63" spans="1:40" ht="15.6" x14ac:dyDescent="0.3">
      <c r="A63" s="10">
        <v>0.9375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K63" s="10">
        <v>0.9375</v>
      </c>
      <c r="L63" s="11">
        <f t="shared" si="8"/>
        <v>0</v>
      </c>
      <c r="M63" s="11">
        <f t="shared" si="9"/>
        <v>0</v>
      </c>
      <c r="N63" s="11">
        <f t="shared" si="10"/>
        <v>0</v>
      </c>
      <c r="O63" s="11">
        <f t="shared" si="11"/>
        <v>0</v>
      </c>
      <c r="P63" s="11">
        <f t="shared" si="12"/>
        <v>0</v>
      </c>
      <c r="Q63" s="11">
        <f t="shared" si="13"/>
        <v>0</v>
      </c>
      <c r="R63" s="11">
        <f t="shared" si="14"/>
        <v>0</v>
      </c>
      <c r="W63" s="10">
        <v>0.9375</v>
      </c>
      <c r="X63" s="4">
        <f t="shared" si="15"/>
        <v>0</v>
      </c>
      <c r="Y63" s="4">
        <f t="shared" si="16"/>
        <v>0</v>
      </c>
      <c r="Z63" s="4">
        <f t="shared" si="17"/>
        <v>0</v>
      </c>
      <c r="AA63" s="4">
        <f t="shared" si="18"/>
        <v>0</v>
      </c>
      <c r="AB63" s="4">
        <f t="shared" si="19"/>
        <v>0</v>
      </c>
      <c r="AC63" s="4">
        <f t="shared" si="20"/>
        <v>0</v>
      </c>
      <c r="AD63" s="4">
        <f t="shared" si="21"/>
        <v>0</v>
      </c>
      <c r="AG63" s="10">
        <v>0.9375</v>
      </c>
      <c r="AH63" s="4">
        <f t="shared" si="22"/>
        <v>0</v>
      </c>
      <c r="AI63" s="4">
        <f t="shared" si="2"/>
        <v>0</v>
      </c>
      <c r="AJ63" s="4">
        <f t="shared" si="3"/>
        <v>0</v>
      </c>
      <c r="AK63" s="4">
        <f t="shared" si="4"/>
        <v>0</v>
      </c>
      <c r="AL63" s="4">
        <f t="shared" si="5"/>
        <v>0</v>
      </c>
      <c r="AM63" s="4">
        <f t="shared" si="6"/>
        <v>0</v>
      </c>
      <c r="AN63" s="4">
        <f t="shared" si="7"/>
        <v>0</v>
      </c>
    </row>
    <row r="64" spans="1:40" ht="15.6" x14ac:dyDescent="0.3">
      <c r="A64" s="10">
        <v>0.94791666666666663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K64" s="10">
        <v>0.94791666666666663</v>
      </c>
      <c r="L64" s="11">
        <f t="shared" si="8"/>
        <v>0</v>
      </c>
      <c r="M64" s="11">
        <f t="shared" si="9"/>
        <v>0</v>
      </c>
      <c r="N64" s="11">
        <f t="shared" si="10"/>
        <v>0</v>
      </c>
      <c r="O64" s="11">
        <f t="shared" si="11"/>
        <v>0</v>
      </c>
      <c r="P64" s="11">
        <f t="shared" si="12"/>
        <v>0</v>
      </c>
      <c r="Q64" s="11">
        <f t="shared" si="13"/>
        <v>0</v>
      </c>
      <c r="R64" s="11">
        <f t="shared" si="14"/>
        <v>0</v>
      </c>
      <c r="W64" s="10">
        <v>0.94791666666666663</v>
      </c>
      <c r="X64" s="4">
        <f t="shared" si="15"/>
        <v>0</v>
      </c>
      <c r="Y64" s="4">
        <f t="shared" si="16"/>
        <v>0</v>
      </c>
      <c r="Z64" s="4">
        <f t="shared" si="17"/>
        <v>0</v>
      </c>
      <c r="AA64" s="4">
        <f t="shared" si="18"/>
        <v>0</v>
      </c>
      <c r="AB64" s="4">
        <f t="shared" si="19"/>
        <v>0</v>
      </c>
      <c r="AC64" s="4">
        <f t="shared" si="20"/>
        <v>0</v>
      </c>
      <c r="AD64" s="4">
        <f t="shared" si="21"/>
        <v>0</v>
      </c>
      <c r="AG64" s="10">
        <v>0.94791666666666663</v>
      </c>
      <c r="AH64" s="4">
        <f t="shared" si="22"/>
        <v>0</v>
      </c>
      <c r="AI64" s="4">
        <f t="shared" si="2"/>
        <v>0</v>
      </c>
      <c r="AJ64" s="4">
        <f t="shared" si="3"/>
        <v>0</v>
      </c>
      <c r="AK64" s="4">
        <f t="shared" si="4"/>
        <v>0</v>
      </c>
      <c r="AL64" s="4">
        <f t="shared" si="5"/>
        <v>0</v>
      </c>
      <c r="AM64" s="4">
        <f t="shared" si="6"/>
        <v>0</v>
      </c>
      <c r="AN64" s="4">
        <f t="shared" si="7"/>
        <v>0</v>
      </c>
    </row>
    <row r="65" spans="1:40" ht="15.6" x14ac:dyDescent="0.3">
      <c r="A65" s="10">
        <v>0.95833333333333337</v>
      </c>
      <c r="B65" s="6"/>
      <c r="C65" s="6">
        <v>0</v>
      </c>
      <c r="D65" s="6">
        <v>0</v>
      </c>
      <c r="E65" s="6"/>
      <c r="F65" s="6">
        <v>0</v>
      </c>
      <c r="G65" s="6">
        <v>0</v>
      </c>
      <c r="H65" s="6">
        <v>0</v>
      </c>
      <c r="K65" s="10">
        <v>0.95833333333333337</v>
      </c>
      <c r="L65" s="11">
        <f t="shared" si="8"/>
        <v>0</v>
      </c>
      <c r="M65" s="11">
        <f t="shared" si="9"/>
        <v>0</v>
      </c>
      <c r="N65" s="11">
        <f t="shared" si="10"/>
        <v>0</v>
      </c>
      <c r="O65" s="11">
        <f t="shared" si="11"/>
        <v>0</v>
      </c>
      <c r="P65" s="11">
        <f t="shared" si="12"/>
        <v>0</v>
      </c>
      <c r="Q65" s="11">
        <f t="shared" si="13"/>
        <v>0</v>
      </c>
      <c r="R65" s="11">
        <f t="shared" si="14"/>
        <v>0</v>
      </c>
      <c r="W65" s="10">
        <v>0.95833333333333337</v>
      </c>
      <c r="X65" s="4">
        <f t="shared" si="15"/>
        <v>0</v>
      </c>
      <c r="Y65" s="4">
        <f t="shared" si="16"/>
        <v>0</v>
      </c>
      <c r="Z65" s="4">
        <f t="shared" si="17"/>
        <v>0</v>
      </c>
      <c r="AA65" s="4">
        <f t="shared" si="18"/>
        <v>0</v>
      </c>
      <c r="AB65" s="4">
        <f t="shared" si="19"/>
        <v>0</v>
      </c>
      <c r="AC65" s="4">
        <f t="shared" si="20"/>
        <v>0</v>
      </c>
      <c r="AD65" s="4">
        <f t="shared" si="21"/>
        <v>0</v>
      </c>
      <c r="AG65" s="10">
        <v>0.95833333333333337</v>
      </c>
      <c r="AH65" s="4">
        <f t="shared" si="22"/>
        <v>0</v>
      </c>
      <c r="AI65" s="4">
        <f t="shared" si="2"/>
        <v>0</v>
      </c>
      <c r="AJ65" s="4">
        <f t="shared" si="3"/>
        <v>0</v>
      </c>
      <c r="AK65" s="4">
        <f t="shared" si="4"/>
        <v>0</v>
      </c>
      <c r="AL65" s="4">
        <f t="shared" si="5"/>
        <v>0</v>
      </c>
      <c r="AM65" s="4">
        <f t="shared" si="6"/>
        <v>0</v>
      </c>
      <c r="AN65" s="4">
        <f t="shared" si="7"/>
        <v>0</v>
      </c>
    </row>
    <row r="66" spans="1:40" x14ac:dyDescent="0.3">
      <c r="A66" s="1" t="s">
        <v>18</v>
      </c>
      <c r="B66" s="13">
        <f>SUMPRODUCT(B5:B65,'BREAKDOWN CALL VOLUME'!B5:B65)/SUM('BREAKDOWN CALL VOLUME'!B5:B65)</f>
        <v>1259.9470385502084</v>
      </c>
      <c r="C66" s="13">
        <f>SUMPRODUCT(C5:C65,'BREAKDOWN CALL VOLUME'!C5:C65)/SUM('BREAKDOWN CALL VOLUME'!C5:C65)</f>
        <v>1222.6024778633966</v>
      </c>
      <c r="D66" s="13">
        <f>SUMPRODUCT(D5:D65,'BREAKDOWN CALL VOLUME'!D5:D65)/SUM('BREAKDOWN CALL VOLUME'!D5:D65)</f>
        <v>1262.5408019842801</v>
      </c>
      <c r="E66" s="13">
        <f>SUMPRODUCT(E5:E65,'BREAKDOWN CALL VOLUME'!E5:E65)/SUM('BREAKDOWN CALL VOLUME'!E5:E65)</f>
        <v>1302.0270173447082</v>
      </c>
      <c r="F66" s="13">
        <f>SUMPRODUCT(F5:F65,'BREAKDOWN CALL VOLUME'!F5:F65)/SUM('BREAKDOWN CALL VOLUME'!F5:F65)</f>
        <v>1256.3347855739858</v>
      </c>
      <c r="G66" s="13">
        <f>SUMPRODUCT(G5:G65,'BREAKDOWN CALL VOLUME'!G5:G65)/SUM('BREAKDOWN CALL VOLUME'!G5:G65)</f>
        <v>1380.3976327534617</v>
      </c>
      <c r="H66" s="13">
        <f>SUMPRODUCT(H5:H65,'BREAKDOWN CALL VOLUME'!H5:H65)/SUM('BREAKDOWN CALL VOLUME'!H5:H65)</f>
        <v>1165.6811736038985</v>
      </c>
      <c r="I66" s="13">
        <f>SUMPRODUCT(B66:H66,'BREAKDOWN CALL VOLUME'!B66:H66)/SUM('BREAKDOWN CALL VOLUME'!B66:H66)</f>
        <v>1266.8123508742892</v>
      </c>
      <c r="J66" s="13"/>
      <c r="L66" s="11">
        <f>B67</f>
        <v>0.99458063988771284</v>
      </c>
      <c r="M66" s="11">
        <f t="shared" ref="M66:R66" si="23">C67</f>
        <v>0.96510148248840388</v>
      </c>
      <c r="N66" s="11">
        <f t="shared" si="23"/>
        <v>0.99662811237429039</v>
      </c>
      <c r="O66" s="11">
        <f t="shared" si="23"/>
        <v>1.0277978553383345</v>
      </c>
      <c r="P66" s="11">
        <f t="shared" si="23"/>
        <v>0.99172918917859276</v>
      </c>
      <c r="Q66" s="11">
        <f t="shared" si="23"/>
        <v>1.0896622785535535</v>
      </c>
      <c r="R66" s="11">
        <f t="shared" si="23"/>
        <v>0.9201687785877718</v>
      </c>
      <c r="W66" s="9" t="s">
        <v>18</v>
      </c>
      <c r="X66" s="27">
        <f>L66*$W$3</f>
        <v>1207.4208968236833</v>
      </c>
      <c r="Y66" s="27">
        <f t="shared" ref="Y66:AD66" si="24">M66*$W$3</f>
        <v>1171.6331997409222</v>
      </c>
      <c r="Z66" s="27">
        <f t="shared" si="24"/>
        <v>1209.9065284223884</v>
      </c>
      <c r="AA66" s="27">
        <f t="shared" si="24"/>
        <v>1247.7465963807381</v>
      </c>
      <c r="AB66" s="27">
        <f t="shared" si="24"/>
        <v>1203.9592356628116</v>
      </c>
      <c r="AC66" s="27">
        <f t="shared" si="24"/>
        <v>1322.8500061640138</v>
      </c>
      <c r="AD66" s="27">
        <f t="shared" si="24"/>
        <v>1117.0848972055549</v>
      </c>
      <c r="AE66" s="5"/>
      <c r="AG66" s="9" t="s">
        <v>18</v>
      </c>
      <c r="AH66" s="27">
        <v>1145.411785979056</v>
      </c>
      <c r="AI66" s="27">
        <v>1189.0078875298923</v>
      </c>
      <c r="AJ66" s="27">
        <v>1234.9941175659801</v>
      </c>
      <c r="AK66" s="27">
        <v>1264.5529246230537</v>
      </c>
      <c r="AL66" s="27">
        <v>1245.7163978993392</v>
      </c>
      <c r="AM66" s="27">
        <v>1252.3938845408968</v>
      </c>
      <c r="AN66" s="27">
        <v>1148.4149547383004</v>
      </c>
    </row>
    <row r="67" spans="1:40" x14ac:dyDescent="0.3">
      <c r="A67" s="9" t="s">
        <v>19</v>
      </c>
      <c r="B67" s="11">
        <f>B66/$I$66</f>
        <v>0.99458063988771284</v>
      </c>
      <c r="C67" s="11">
        <f t="shared" ref="C67:H67" si="25">C66/$I$66</f>
        <v>0.96510148248840388</v>
      </c>
      <c r="D67" s="11">
        <f t="shared" si="25"/>
        <v>0.99662811237429039</v>
      </c>
      <c r="E67" s="11">
        <f t="shared" si="25"/>
        <v>1.0277978553383345</v>
      </c>
      <c r="F67" s="11">
        <f t="shared" si="25"/>
        <v>0.99172918917859276</v>
      </c>
      <c r="G67" s="11">
        <f t="shared" si="25"/>
        <v>1.0896622785535535</v>
      </c>
      <c r="H67" s="11">
        <f t="shared" si="25"/>
        <v>0.9201687785877718</v>
      </c>
      <c r="I67" s="14"/>
      <c r="J67" s="14"/>
      <c r="W67" s="8"/>
      <c r="X67" s="11"/>
      <c r="Y67" s="11"/>
      <c r="Z67" s="11"/>
      <c r="AA67" s="11"/>
      <c r="AB67" s="11"/>
      <c r="AC67" s="11"/>
      <c r="AD67" s="11"/>
      <c r="AE67" s="14"/>
    </row>
  </sheetData>
  <mergeCells count="4">
    <mergeCell ref="A1:H1"/>
    <mergeCell ref="K1:R1"/>
    <mergeCell ref="W1:AD1"/>
    <mergeCell ref="AG1:AN1"/>
  </mergeCells>
  <conditionalFormatting sqref="L5:R65">
    <cfRule type="colorScale" priority="1">
      <colorScale>
        <cfvo type="min"/>
        <cfvo type="max"/>
        <color rgb="FFFCFCFF"/>
        <color rgb="FFF8696B"/>
      </colorScale>
    </cfRule>
  </conditionalFormatting>
  <conditionalFormatting sqref="X5:X65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5:Y65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5:Z65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5:AA65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5:AB65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5:AC65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5:AD65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6:AM6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N5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N6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7:AN7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:AN8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9:AN9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0:AN10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1:AN11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:AN12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3:AN13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4:AN1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5:AN1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6:AN1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:AN1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8:AN18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9:AN19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0:AN20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:AN21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:AN2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:AN23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4:AN2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:AN2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6:AN2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7:AN2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8:AN2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:AN2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0:AN3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1:AN31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2:AN3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:AN3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4:AN3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5:AN3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6:AN36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7:AN3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:AN38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9:AN3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0:AN40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1:AN4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:AN4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3:AN43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4:AN4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5:AN45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:AN4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7:AN4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8:AN4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9:AN4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:AN5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1:AN5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2:AN5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3:AN5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:AN5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5:AN5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6:AN5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7:AN5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8:AN5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:AN5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0:AN6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1:AN6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660A-434B-401B-9ED2-9A052426AAC5}">
  <dimension ref="A1:AE67"/>
  <sheetViews>
    <sheetView showGridLines="0" workbookViewId="0">
      <selection activeCell="U23" sqref="U23"/>
    </sheetView>
  </sheetViews>
  <sheetFormatPr defaultRowHeight="14.4" x14ac:dyDescent="0.3"/>
  <cols>
    <col min="1" max="1" width="11.5546875" customWidth="1"/>
    <col min="2" max="2" width="9.88671875" style="1" bestFit="1" customWidth="1"/>
    <col min="3" max="3" width="9" style="1" bestFit="1" customWidth="1"/>
    <col min="4" max="4" width="12.44140625" style="1" bestFit="1" customWidth="1"/>
    <col min="5" max="5" width="10.5546875" style="1" bestFit="1" customWidth="1"/>
    <col min="6" max="6" width="8.21875" style="1" customWidth="1"/>
    <col min="7" max="7" width="10.21875" style="1" bestFit="1" customWidth="1"/>
    <col min="8" max="8" width="8.33203125" style="1" bestFit="1" customWidth="1"/>
    <col min="11" max="11" width="14.33203125" customWidth="1"/>
    <col min="13" max="13" width="9" bestFit="1" customWidth="1"/>
    <col min="14" max="14" width="12.44140625" bestFit="1" customWidth="1"/>
    <col min="15" max="15" width="10.5546875" bestFit="1" customWidth="1"/>
    <col min="16" max="16" width="9.6640625" customWidth="1"/>
    <col min="17" max="17" width="10.21875" bestFit="1" customWidth="1"/>
    <col min="18" max="18" width="8.33203125" bestFit="1" customWidth="1"/>
    <col min="20" max="20" width="13" bestFit="1" customWidth="1"/>
    <col min="21" max="21" width="21.109375" bestFit="1" customWidth="1"/>
    <col min="22" max="22" width="12.88671875" customWidth="1"/>
    <col min="23" max="23" width="13.33203125" customWidth="1"/>
    <col min="25" max="25" width="9" bestFit="1" customWidth="1"/>
    <col min="26" max="26" width="12.44140625" bestFit="1" customWidth="1"/>
    <col min="27" max="27" width="10.5546875" bestFit="1" customWidth="1"/>
    <col min="28" max="28" width="9.109375" customWidth="1"/>
    <col min="29" max="29" width="10.21875" bestFit="1" customWidth="1"/>
    <col min="30" max="30" width="8.33203125" bestFit="1" customWidth="1"/>
  </cols>
  <sheetData>
    <row r="1" spans="1:30" ht="18" x14ac:dyDescent="0.35">
      <c r="A1" s="32" t="s">
        <v>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3" spans="1:30" x14ac:dyDescent="0.3">
      <c r="A3" s="9" t="s">
        <v>19</v>
      </c>
      <c r="B3" s="11">
        <f>B67</f>
        <v>1.0000000000000004</v>
      </c>
      <c r="C3" s="11">
        <f t="shared" ref="C3:H3" si="0">C67</f>
        <v>0.99999999999999967</v>
      </c>
      <c r="D3" s="11">
        <f t="shared" si="0"/>
        <v>0.99999999999999978</v>
      </c>
      <c r="E3" s="11">
        <f t="shared" si="0"/>
        <v>0.99999999999999978</v>
      </c>
      <c r="F3" s="11">
        <f t="shared" si="0"/>
        <v>1.0000000000000002</v>
      </c>
      <c r="G3" s="11">
        <f t="shared" si="0"/>
        <v>1.0000000000000002</v>
      </c>
      <c r="H3" s="11">
        <f t="shared" si="0"/>
        <v>0.99999999999999967</v>
      </c>
      <c r="K3" s="9" t="s">
        <v>20</v>
      </c>
      <c r="V3" s="7" t="s">
        <v>28</v>
      </c>
      <c r="W3" s="22">
        <v>0.15</v>
      </c>
    </row>
    <row r="4" spans="1:30" x14ac:dyDescent="0.3">
      <c r="A4" s="9" t="s">
        <v>10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W4" s="9" t="s">
        <v>10</v>
      </c>
      <c r="X4" s="9" t="s">
        <v>11</v>
      </c>
      <c r="Y4" s="9" t="s">
        <v>12</v>
      </c>
      <c r="Z4" s="9" t="s">
        <v>13</v>
      </c>
      <c r="AA4" s="9" t="s">
        <v>14</v>
      </c>
      <c r="AB4" s="9" t="s">
        <v>15</v>
      </c>
      <c r="AC4" s="9" t="s">
        <v>16</v>
      </c>
      <c r="AD4" s="9" t="s">
        <v>17</v>
      </c>
    </row>
    <row r="5" spans="1:30" ht="15.6" x14ac:dyDescent="0.3">
      <c r="A5" s="10">
        <v>0.33333333333333331</v>
      </c>
      <c r="B5" s="21">
        <v>0.15</v>
      </c>
      <c r="C5" s="21">
        <v>0.15</v>
      </c>
      <c r="D5" s="21">
        <v>0.15</v>
      </c>
      <c r="E5" s="21">
        <v>0.15</v>
      </c>
      <c r="F5" s="21">
        <v>0.15</v>
      </c>
      <c r="G5" s="21">
        <v>0.15</v>
      </c>
      <c r="H5" s="21">
        <v>0.15</v>
      </c>
      <c r="K5" s="10">
        <v>0.33333333333333331</v>
      </c>
      <c r="L5" s="11">
        <f>B5/B66</f>
        <v>0.99999999999999944</v>
      </c>
      <c r="M5" s="11">
        <f>C5/$C$66</f>
        <v>1.0000000000000004</v>
      </c>
      <c r="N5" s="11">
        <f>D5/$D$66</f>
        <v>1.0000000000000002</v>
      </c>
      <c r="O5" s="11">
        <f>E5/$E$66</f>
        <v>1.0000000000000002</v>
      </c>
      <c r="P5" s="11">
        <f>F5/$F$66</f>
        <v>0.99999999999999978</v>
      </c>
      <c r="Q5" s="11">
        <f>G5/$G$66</f>
        <v>0.99999999999999978</v>
      </c>
      <c r="R5" s="11">
        <f>H5/$H$66</f>
        <v>1.0000000000000004</v>
      </c>
      <c r="T5" s="15" t="s">
        <v>21</v>
      </c>
      <c r="U5" t="s">
        <v>43</v>
      </c>
      <c r="W5" s="10">
        <v>0.33333333333333331</v>
      </c>
      <c r="X5" s="11">
        <f>L5*X$66</f>
        <v>0.14999999999999997</v>
      </c>
      <c r="Y5" s="11">
        <f>M5*Y$66</f>
        <v>0.15</v>
      </c>
      <c r="Z5" s="11">
        <f t="shared" ref="Z5:AD20" si="1">N5*Z$66</f>
        <v>0.15</v>
      </c>
      <c r="AA5" s="11">
        <f t="shared" si="1"/>
        <v>0.15</v>
      </c>
      <c r="AB5" s="11">
        <f t="shared" si="1"/>
        <v>0.15</v>
      </c>
      <c r="AC5" s="11">
        <f t="shared" si="1"/>
        <v>0.15</v>
      </c>
      <c r="AD5" s="11">
        <f t="shared" si="1"/>
        <v>0.15</v>
      </c>
    </row>
    <row r="6" spans="1:30" ht="15.6" x14ac:dyDescent="0.3">
      <c r="A6" s="10">
        <v>0.34375</v>
      </c>
      <c r="B6" s="21">
        <v>0.15</v>
      </c>
      <c r="C6" s="21">
        <v>0.15</v>
      </c>
      <c r="D6" s="21">
        <v>0.15</v>
      </c>
      <c r="E6" s="21">
        <v>0.15</v>
      </c>
      <c r="F6" s="21">
        <v>0.15</v>
      </c>
      <c r="G6" s="21">
        <v>0.15</v>
      </c>
      <c r="H6" s="21">
        <v>0.15</v>
      </c>
      <c r="K6" s="10">
        <v>0.34375</v>
      </c>
      <c r="L6" s="11">
        <f t="shared" ref="L6:L65" si="2">B6/$B$66</f>
        <v>0.99999999999999944</v>
      </c>
      <c r="M6" s="11">
        <f t="shared" ref="M6:M65" si="3">C6/$C$66</f>
        <v>1.0000000000000004</v>
      </c>
      <c r="N6" s="11">
        <f t="shared" ref="N6:N65" si="4">D6/$D$66</f>
        <v>1.0000000000000002</v>
      </c>
      <c r="O6" s="11">
        <f t="shared" ref="O6:O65" si="5">E6/$E$66</f>
        <v>1.0000000000000002</v>
      </c>
      <c r="P6" s="11">
        <f t="shared" ref="P6:P65" si="6">F6/$F$66</f>
        <v>0.99999999999999978</v>
      </c>
      <c r="Q6" s="11">
        <f t="shared" ref="Q6:Q65" si="7">G6/$G$66</f>
        <v>0.99999999999999978</v>
      </c>
      <c r="R6" s="11">
        <f t="shared" ref="R6:R65" si="8">H6/$H$66</f>
        <v>1.0000000000000004</v>
      </c>
      <c r="T6" s="16">
        <v>45992</v>
      </c>
      <c r="U6" s="14">
        <v>0.15</v>
      </c>
      <c r="W6" s="10">
        <v>0.34375</v>
      </c>
      <c r="X6" s="11">
        <f t="shared" ref="X6:AD53" si="9">L6*X$66</f>
        <v>0.14999999999999997</v>
      </c>
      <c r="Y6" s="11">
        <f t="shared" si="9"/>
        <v>0.15</v>
      </c>
      <c r="Z6" s="11">
        <f t="shared" si="1"/>
        <v>0.15</v>
      </c>
      <c r="AA6" s="11">
        <f t="shared" si="1"/>
        <v>0.15</v>
      </c>
      <c r="AB6" s="11">
        <f t="shared" si="1"/>
        <v>0.15</v>
      </c>
      <c r="AC6" s="11">
        <f t="shared" si="1"/>
        <v>0.15</v>
      </c>
      <c r="AD6" s="11">
        <f t="shared" si="1"/>
        <v>0.15</v>
      </c>
    </row>
    <row r="7" spans="1:30" ht="15.6" x14ac:dyDescent="0.3">
      <c r="A7" s="10">
        <v>0.35416666666666669</v>
      </c>
      <c r="B7" s="21">
        <v>0.15</v>
      </c>
      <c r="C7" s="21">
        <v>0.15</v>
      </c>
      <c r="D7" s="21">
        <v>0.15</v>
      </c>
      <c r="E7" s="21">
        <v>0.15</v>
      </c>
      <c r="F7" s="21">
        <v>0.15</v>
      </c>
      <c r="G7" s="21">
        <v>0.15</v>
      </c>
      <c r="H7" s="21">
        <v>0.15</v>
      </c>
      <c r="K7" s="10">
        <v>0.35416666666666669</v>
      </c>
      <c r="L7" s="11">
        <f t="shared" si="2"/>
        <v>0.99999999999999944</v>
      </c>
      <c r="M7" s="11">
        <f t="shared" si="3"/>
        <v>1.0000000000000004</v>
      </c>
      <c r="N7" s="11">
        <f t="shared" si="4"/>
        <v>1.0000000000000002</v>
      </c>
      <c r="O7" s="11">
        <f t="shared" si="5"/>
        <v>1.0000000000000002</v>
      </c>
      <c r="P7" s="11">
        <f t="shared" si="6"/>
        <v>0.99999999999999978</v>
      </c>
      <c r="Q7" s="11">
        <f t="shared" si="7"/>
        <v>0.99999999999999978</v>
      </c>
      <c r="R7" s="11">
        <f t="shared" si="8"/>
        <v>1.0000000000000004</v>
      </c>
      <c r="T7" s="16">
        <v>45993</v>
      </c>
      <c r="U7" s="14">
        <v>0.15</v>
      </c>
      <c r="W7" s="10">
        <v>0.35416666666666669</v>
      </c>
      <c r="X7" s="11">
        <f t="shared" si="9"/>
        <v>0.14999999999999997</v>
      </c>
      <c r="Y7" s="11">
        <f t="shared" si="9"/>
        <v>0.15</v>
      </c>
      <c r="Z7" s="11">
        <f t="shared" si="1"/>
        <v>0.15</v>
      </c>
      <c r="AA7" s="11">
        <f t="shared" si="1"/>
        <v>0.15</v>
      </c>
      <c r="AB7" s="11">
        <f t="shared" si="1"/>
        <v>0.15</v>
      </c>
      <c r="AC7" s="11">
        <f t="shared" si="1"/>
        <v>0.15</v>
      </c>
      <c r="AD7" s="11">
        <f t="shared" si="1"/>
        <v>0.15</v>
      </c>
    </row>
    <row r="8" spans="1:30" ht="15.6" x14ac:dyDescent="0.3">
      <c r="A8" s="10">
        <v>0.36458333333333331</v>
      </c>
      <c r="B8" s="21">
        <v>0.15</v>
      </c>
      <c r="C8" s="21">
        <v>0.15</v>
      </c>
      <c r="D8" s="21">
        <v>0.15</v>
      </c>
      <c r="E8" s="21">
        <v>0.15</v>
      </c>
      <c r="F8" s="21">
        <v>0.15</v>
      </c>
      <c r="G8" s="21">
        <v>0.15</v>
      </c>
      <c r="H8" s="21">
        <v>0.15</v>
      </c>
      <c r="K8" s="10">
        <v>0.36458333333333331</v>
      </c>
      <c r="L8" s="11">
        <f t="shared" si="2"/>
        <v>0.99999999999999944</v>
      </c>
      <c r="M8" s="11">
        <f t="shared" si="3"/>
        <v>1.0000000000000004</v>
      </c>
      <c r="N8" s="11">
        <f t="shared" si="4"/>
        <v>1.0000000000000002</v>
      </c>
      <c r="O8" s="11">
        <f t="shared" si="5"/>
        <v>1.0000000000000002</v>
      </c>
      <c r="P8" s="11">
        <f t="shared" si="6"/>
        <v>0.99999999999999978</v>
      </c>
      <c r="Q8" s="11">
        <f t="shared" si="7"/>
        <v>0.99999999999999978</v>
      </c>
      <c r="R8" s="11">
        <f t="shared" si="8"/>
        <v>1.0000000000000004</v>
      </c>
      <c r="T8" s="16">
        <v>45994</v>
      </c>
      <c r="U8" s="14">
        <v>0.15</v>
      </c>
      <c r="W8" s="10">
        <v>0.36458333333333331</v>
      </c>
      <c r="X8" s="11">
        <f t="shared" si="9"/>
        <v>0.14999999999999997</v>
      </c>
      <c r="Y8" s="11">
        <f t="shared" si="9"/>
        <v>0.15</v>
      </c>
      <c r="Z8" s="11">
        <f t="shared" si="1"/>
        <v>0.15</v>
      </c>
      <c r="AA8" s="11">
        <f t="shared" si="1"/>
        <v>0.15</v>
      </c>
      <c r="AB8" s="11">
        <f t="shared" si="1"/>
        <v>0.15</v>
      </c>
      <c r="AC8" s="11">
        <f t="shared" si="1"/>
        <v>0.15</v>
      </c>
      <c r="AD8" s="11">
        <f t="shared" si="1"/>
        <v>0.15</v>
      </c>
    </row>
    <row r="9" spans="1:30" ht="15.6" x14ac:dyDescent="0.3">
      <c r="A9" s="10">
        <v>0.375</v>
      </c>
      <c r="B9" s="21">
        <v>0.15</v>
      </c>
      <c r="C9" s="21">
        <v>0.15</v>
      </c>
      <c r="D9" s="21">
        <v>0.15</v>
      </c>
      <c r="E9" s="21">
        <v>0.15</v>
      </c>
      <c r="F9" s="21">
        <v>0.15</v>
      </c>
      <c r="G9" s="21">
        <v>0.15</v>
      </c>
      <c r="H9" s="21">
        <v>0.15</v>
      </c>
      <c r="K9" s="10">
        <v>0.375</v>
      </c>
      <c r="L9" s="11">
        <f t="shared" si="2"/>
        <v>0.99999999999999944</v>
      </c>
      <c r="M9" s="11">
        <f t="shared" si="3"/>
        <v>1.0000000000000004</v>
      </c>
      <c r="N9" s="11">
        <f t="shared" si="4"/>
        <v>1.0000000000000002</v>
      </c>
      <c r="O9" s="11">
        <f t="shared" si="5"/>
        <v>1.0000000000000002</v>
      </c>
      <c r="P9" s="11">
        <f t="shared" si="6"/>
        <v>0.99999999999999978</v>
      </c>
      <c r="Q9" s="11">
        <f t="shared" si="7"/>
        <v>0.99999999999999978</v>
      </c>
      <c r="R9" s="11">
        <f t="shared" si="8"/>
        <v>1.0000000000000004</v>
      </c>
      <c r="T9" s="16">
        <v>45995</v>
      </c>
      <c r="U9" s="14">
        <v>0.15</v>
      </c>
      <c r="W9" s="10">
        <v>0.375</v>
      </c>
      <c r="X9" s="11">
        <f t="shared" si="9"/>
        <v>0.14999999999999997</v>
      </c>
      <c r="Y9" s="11">
        <f t="shared" si="9"/>
        <v>0.15</v>
      </c>
      <c r="Z9" s="11">
        <f t="shared" si="1"/>
        <v>0.15</v>
      </c>
      <c r="AA9" s="11">
        <f t="shared" si="1"/>
        <v>0.15</v>
      </c>
      <c r="AB9" s="11">
        <f t="shared" si="1"/>
        <v>0.15</v>
      </c>
      <c r="AC9" s="11">
        <f t="shared" si="1"/>
        <v>0.15</v>
      </c>
      <c r="AD9" s="11">
        <f t="shared" si="1"/>
        <v>0.15</v>
      </c>
    </row>
    <row r="10" spans="1:30" ht="15.6" x14ac:dyDescent="0.3">
      <c r="A10" s="10">
        <v>0.38541666666666669</v>
      </c>
      <c r="B10" s="21">
        <v>0.15</v>
      </c>
      <c r="C10" s="21">
        <v>0.15</v>
      </c>
      <c r="D10" s="21">
        <v>0.15</v>
      </c>
      <c r="E10" s="21">
        <v>0.15</v>
      </c>
      <c r="F10" s="21">
        <v>0.15</v>
      </c>
      <c r="G10" s="21">
        <v>0.15</v>
      </c>
      <c r="H10" s="21">
        <v>0.15</v>
      </c>
      <c r="K10" s="10">
        <v>0.38541666666666669</v>
      </c>
      <c r="L10" s="11">
        <f t="shared" si="2"/>
        <v>0.99999999999999944</v>
      </c>
      <c r="M10" s="11">
        <f t="shared" si="3"/>
        <v>1.0000000000000004</v>
      </c>
      <c r="N10" s="11">
        <f t="shared" si="4"/>
        <v>1.0000000000000002</v>
      </c>
      <c r="O10" s="11">
        <f t="shared" si="5"/>
        <v>1.0000000000000002</v>
      </c>
      <c r="P10" s="11">
        <f t="shared" si="6"/>
        <v>0.99999999999999978</v>
      </c>
      <c r="Q10" s="11">
        <f t="shared" si="7"/>
        <v>0.99999999999999978</v>
      </c>
      <c r="R10" s="11">
        <f t="shared" si="8"/>
        <v>1.0000000000000004</v>
      </c>
      <c r="T10" s="16">
        <v>45996</v>
      </c>
      <c r="U10" s="14">
        <v>0.15</v>
      </c>
      <c r="W10" s="10">
        <v>0.38541666666666669</v>
      </c>
      <c r="X10" s="11">
        <f t="shared" si="9"/>
        <v>0.14999999999999997</v>
      </c>
      <c r="Y10" s="11">
        <f t="shared" si="9"/>
        <v>0.15</v>
      </c>
      <c r="Z10" s="11">
        <f t="shared" si="1"/>
        <v>0.15</v>
      </c>
      <c r="AA10" s="11">
        <f t="shared" si="1"/>
        <v>0.15</v>
      </c>
      <c r="AB10" s="11">
        <f t="shared" si="1"/>
        <v>0.15</v>
      </c>
      <c r="AC10" s="11">
        <f t="shared" si="1"/>
        <v>0.15</v>
      </c>
      <c r="AD10" s="11">
        <f t="shared" si="1"/>
        <v>0.15</v>
      </c>
    </row>
    <row r="11" spans="1:30" ht="15.6" x14ac:dyDescent="0.3">
      <c r="A11" s="10">
        <v>0.39583333333333331</v>
      </c>
      <c r="B11" s="21">
        <v>0.15</v>
      </c>
      <c r="C11" s="21">
        <v>0.15</v>
      </c>
      <c r="D11" s="21">
        <v>0.15</v>
      </c>
      <c r="E11" s="21">
        <v>0.15</v>
      </c>
      <c r="F11" s="21">
        <v>0.15</v>
      </c>
      <c r="G11" s="21">
        <v>0.15</v>
      </c>
      <c r="H11" s="21">
        <v>0.15</v>
      </c>
      <c r="K11" s="10">
        <v>0.39583333333333331</v>
      </c>
      <c r="L11" s="11">
        <f t="shared" si="2"/>
        <v>0.99999999999999944</v>
      </c>
      <c r="M11" s="11">
        <f t="shared" si="3"/>
        <v>1.0000000000000004</v>
      </c>
      <c r="N11" s="11">
        <f t="shared" si="4"/>
        <v>1.0000000000000002</v>
      </c>
      <c r="O11" s="11">
        <f t="shared" si="5"/>
        <v>1.0000000000000002</v>
      </c>
      <c r="P11" s="11">
        <f t="shared" si="6"/>
        <v>0.99999999999999978</v>
      </c>
      <c r="Q11" s="11">
        <f t="shared" si="7"/>
        <v>0.99999999999999978</v>
      </c>
      <c r="R11" s="11">
        <f t="shared" si="8"/>
        <v>1.0000000000000004</v>
      </c>
      <c r="T11" s="16">
        <v>45997</v>
      </c>
      <c r="U11" s="14">
        <v>0.15</v>
      </c>
      <c r="W11" s="10">
        <v>0.39583333333333331</v>
      </c>
      <c r="X11" s="11">
        <f t="shared" si="9"/>
        <v>0.14999999999999997</v>
      </c>
      <c r="Y11" s="11">
        <f t="shared" si="9"/>
        <v>0.15</v>
      </c>
      <c r="Z11" s="11">
        <f t="shared" si="1"/>
        <v>0.15</v>
      </c>
      <c r="AA11" s="11">
        <f t="shared" si="1"/>
        <v>0.15</v>
      </c>
      <c r="AB11" s="11">
        <f t="shared" si="1"/>
        <v>0.15</v>
      </c>
      <c r="AC11" s="11">
        <f t="shared" si="1"/>
        <v>0.15</v>
      </c>
      <c r="AD11" s="11">
        <f t="shared" si="1"/>
        <v>0.15</v>
      </c>
    </row>
    <row r="12" spans="1:30" ht="15.6" x14ac:dyDescent="0.3">
      <c r="A12" s="10">
        <v>0.40625</v>
      </c>
      <c r="B12" s="21">
        <v>0.15</v>
      </c>
      <c r="C12" s="21">
        <v>0.15</v>
      </c>
      <c r="D12" s="21">
        <v>0.15</v>
      </c>
      <c r="E12" s="21">
        <v>0.15</v>
      </c>
      <c r="F12" s="21">
        <v>0.15</v>
      </c>
      <c r="G12" s="21">
        <v>0.15</v>
      </c>
      <c r="H12" s="21">
        <v>0.15</v>
      </c>
      <c r="K12" s="10">
        <v>0.40625</v>
      </c>
      <c r="L12" s="11">
        <f t="shared" si="2"/>
        <v>0.99999999999999944</v>
      </c>
      <c r="M12" s="11">
        <f t="shared" si="3"/>
        <v>1.0000000000000004</v>
      </c>
      <c r="N12" s="11">
        <f t="shared" si="4"/>
        <v>1.0000000000000002</v>
      </c>
      <c r="O12" s="11">
        <f t="shared" si="5"/>
        <v>1.0000000000000002</v>
      </c>
      <c r="P12" s="11">
        <f t="shared" si="6"/>
        <v>0.99999999999999978</v>
      </c>
      <c r="Q12" s="11">
        <f t="shared" si="7"/>
        <v>0.99999999999999978</v>
      </c>
      <c r="R12" s="11">
        <f t="shared" si="8"/>
        <v>1.0000000000000004</v>
      </c>
      <c r="T12" s="16">
        <v>45998</v>
      </c>
      <c r="U12" s="14">
        <v>0.15</v>
      </c>
      <c r="W12" s="10">
        <v>0.40625</v>
      </c>
      <c r="X12" s="11">
        <f t="shared" si="9"/>
        <v>0.14999999999999997</v>
      </c>
      <c r="Y12" s="11">
        <f t="shared" si="9"/>
        <v>0.15</v>
      </c>
      <c r="Z12" s="11">
        <f t="shared" si="1"/>
        <v>0.15</v>
      </c>
      <c r="AA12" s="11">
        <f t="shared" si="1"/>
        <v>0.15</v>
      </c>
      <c r="AB12" s="11">
        <f t="shared" si="1"/>
        <v>0.15</v>
      </c>
      <c r="AC12" s="11">
        <f t="shared" si="1"/>
        <v>0.15</v>
      </c>
      <c r="AD12" s="11">
        <f t="shared" si="1"/>
        <v>0.15</v>
      </c>
    </row>
    <row r="13" spans="1:30" ht="15.6" x14ac:dyDescent="0.3">
      <c r="A13" s="10">
        <v>0.41666666666666669</v>
      </c>
      <c r="B13" s="21">
        <v>0.15</v>
      </c>
      <c r="C13" s="21">
        <v>0.15</v>
      </c>
      <c r="D13" s="21">
        <v>0.15</v>
      </c>
      <c r="E13" s="21">
        <v>0.15</v>
      </c>
      <c r="F13" s="21">
        <v>0.15</v>
      </c>
      <c r="G13" s="21">
        <v>0.15</v>
      </c>
      <c r="H13" s="21">
        <v>0.15</v>
      </c>
      <c r="K13" s="10">
        <v>0.41666666666666669</v>
      </c>
      <c r="L13" s="11">
        <f t="shared" si="2"/>
        <v>0.99999999999999944</v>
      </c>
      <c r="M13" s="11">
        <f t="shared" si="3"/>
        <v>1.0000000000000004</v>
      </c>
      <c r="N13" s="11">
        <f t="shared" si="4"/>
        <v>1.0000000000000002</v>
      </c>
      <c r="O13" s="11">
        <f t="shared" si="5"/>
        <v>1.0000000000000002</v>
      </c>
      <c r="P13" s="11">
        <f t="shared" si="6"/>
        <v>0.99999999999999978</v>
      </c>
      <c r="Q13" s="11">
        <f t="shared" si="7"/>
        <v>0.99999999999999978</v>
      </c>
      <c r="R13" s="11">
        <f t="shared" si="8"/>
        <v>1.0000000000000004</v>
      </c>
      <c r="T13" s="17" t="s">
        <v>22</v>
      </c>
      <c r="U13" s="14">
        <v>0.15</v>
      </c>
      <c r="W13" s="10">
        <v>0.41666666666666669</v>
      </c>
      <c r="X13" s="11">
        <f t="shared" si="9"/>
        <v>0.14999999999999997</v>
      </c>
      <c r="Y13" s="11">
        <f t="shared" si="9"/>
        <v>0.15</v>
      </c>
      <c r="Z13" s="11">
        <f t="shared" si="1"/>
        <v>0.15</v>
      </c>
      <c r="AA13" s="11">
        <f t="shared" si="1"/>
        <v>0.15</v>
      </c>
      <c r="AB13" s="11">
        <f t="shared" si="1"/>
        <v>0.15</v>
      </c>
      <c r="AC13" s="11">
        <f t="shared" si="1"/>
        <v>0.15</v>
      </c>
      <c r="AD13" s="11">
        <f t="shared" si="1"/>
        <v>0.15</v>
      </c>
    </row>
    <row r="14" spans="1:30" ht="15.6" x14ac:dyDescent="0.3">
      <c r="A14" s="10">
        <v>0.42708333333333331</v>
      </c>
      <c r="B14" s="21">
        <v>0.15</v>
      </c>
      <c r="C14" s="21">
        <v>0.15</v>
      </c>
      <c r="D14" s="21">
        <v>0.15</v>
      </c>
      <c r="E14" s="21">
        <v>0.15</v>
      </c>
      <c r="F14" s="21">
        <v>0.15</v>
      </c>
      <c r="G14" s="21">
        <v>0.15</v>
      </c>
      <c r="H14" s="21">
        <v>0.15</v>
      </c>
      <c r="K14" s="10">
        <v>0.42708333333333331</v>
      </c>
      <c r="L14" s="11">
        <f t="shared" si="2"/>
        <v>0.99999999999999944</v>
      </c>
      <c r="M14" s="11">
        <f t="shared" si="3"/>
        <v>1.0000000000000004</v>
      </c>
      <c r="N14" s="11">
        <f t="shared" si="4"/>
        <v>1.0000000000000002</v>
      </c>
      <c r="O14" s="11">
        <f t="shared" si="5"/>
        <v>1.0000000000000002</v>
      </c>
      <c r="P14" s="11">
        <f t="shared" si="6"/>
        <v>0.99999999999999978</v>
      </c>
      <c r="Q14" s="11">
        <f t="shared" si="7"/>
        <v>0.99999999999999978</v>
      </c>
      <c r="R14" s="11">
        <f t="shared" si="8"/>
        <v>1.0000000000000004</v>
      </c>
      <c r="W14" s="10">
        <v>0.42708333333333331</v>
      </c>
      <c r="X14" s="11">
        <f t="shared" si="9"/>
        <v>0.14999999999999997</v>
      </c>
      <c r="Y14" s="11">
        <f t="shared" si="9"/>
        <v>0.15</v>
      </c>
      <c r="Z14" s="11">
        <f t="shared" si="1"/>
        <v>0.15</v>
      </c>
      <c r="AA14" s="11">
        <f t="shared" si="1"/>
        <v>0.15</v>
      </c>
      <c r="AB14" s="11">
        <f t="shared" si="1"/>
        <v>0.15</v>
      </c>
      <c r="AC14" s="11">
        <f t="shared" si="1"/>
        <v>0.15</v>
      </c>
      <c r="AD14" s="11">
        <f t="shared" si="1"/>
        <v>0.15</v>
      </c>
    </row>
    <row r="15" spans="1:30" ht="15.6" x14ac:dyDescent="0.3">
      <c r="A15" s="10">
        <v>0.4375</v>
      </c>
      <c r="B15" s="21">
        <v>0.15</v>
      </c>
      <c r="C15" s="21">
        <v>0.15</v>
      </c>
      <c r="D15" s="21">
        <v>0.15</v>
      </c>
      <c r="E15" s="21">
        <v>0.15</v>
      </c>
      <c r="F15" s="21">
        <v>0.15</v>
      </c>
      <c r="G15" s="21">
        <v>0.15</v>
      </c>
      <c r="H15" s="21">
        <v>0.15</v>
      </c>
      <c r="K15" s="10">
        <v>0.4375</v>
      </c>
      <c r="L15" s="11">
        <f t="shared" si="2"/>
        <v>0.99999999999999944</v>
      </c>
      <c r="M15" s="11">
        <f t="shared" si="3"/>
        <v>1.0000000000000004</v>
      </c>
      <c r="N15" s="11">
        <f t="shared" si="4"/>
        <v>1.0000000000000002</v>
      </c>
      <c r="O15" s="11">
        <f t="shared" si="5"/>
        <v>1.0000000000000002</v>
      </c>
      <c r="P15" s="11">
        <f t="shared" si="6"/>
        <v>0.99999999999999978</v>
      </c>
      <c r="Q15" s="11">
        <f t="shared" si="7"/>
        <v>0.99999999999999978</v>
      </c>
      <c r="R15" s="11">
        <f t="shared" si="8"/>
        <v>1.0000000000000004</v>
      </c>
      <c r="W15" s="10">
        <v>0.4375</v>
      </c>
      <c r="X15" s="11">
        <f t="shared" si="9"/>
        <v>0.14999999999999997</v>
      </c>
      <c r="Y15" s="11">
        <f t="shared" si="9"/>
        <v>0.15</v>
      </c>
      <c r="Z15" s="11">
        <f t="shared" si="1"/>
        <v>0.15</v>
      </c>
      <c r="AA15" s="11">
        <f t="shared" si="1"/>
        <v>0.15</v>
      </c>
      <c r="AB15" s="11">
        <f t="shared" si="1"/>
        <v>0.15</v>
      </c>
      <c r="AC15" s="11">
        <f t="shared" si="1"/>
        <v>0.15</v>
      </c>
      <c r="AD15" s="11">
        <f t="shared" si="1"/>
        <v>0.15</v>
      </c>
    </row>
    <row r="16" spans="1:30" ht="15.6" x14ac:dyDescent="0.3">
      <c r="A16" s="10">
        <v>0.44791666666666669</v>
      </c>
      <c r="B16" s="21">
        <v>0.15</v>
      </c>
      <c r="C16" s="21">
        <v>0.15</v>
      </c>
      <c r="D16" s="21">
        <v>0.15</v>
      </c>
      <c r="E16" s="21">
        <v>0.15</v>
      </c>
      <c r="F16" s="21">
        <v>0.15</v>
      </c>
      <c r="G16" s="21">
        <v>0.15</v>
      </c>
      <c r="H16" s="21">
        <v>0.15</v>
      </c>
      <c r="K16" s="10">
        <v>0.44791666666666669</v>
      </c>
      <c r="L16" s="11">
        <f t="shared" si="2"/>
        <v>0.99999999999999944</v>
      </c>
      <c r="M16" s="11">
        <f t="shared" si="3"/>
        <v>1.0000000000000004</v>
      </c>
      <c r="N16" s="11">
        <f t="shared" si="4"/>
        <v>1.0000000000000002</v>
      </c>
      <c r="O16" s="11">
        <f t="shared" si="5"/>
        <v>1.0000000000000002</v>
      </c>
      <c r="P16" s="11">
        <f t="shared" si="6"/>
        <v>0.99999999999999978</v>
      </c>
      <c r="Q16" s="11">
        <f t="shared" si="7"/>
        <v>0.99999999999999978</v>
      </c>
      <c r="R16" s="11">
        <f t="shared" si="8"/>
        <v>1.0000000000000004</v>
      </c>
      <c r="W16" s="10">
        <v>0.44791666666666669</v>
      </c>
      <c r="X16" s="11">
        <f t="shared" si="9"/>
        <v>0.14999999999999997</v>
      </c>
      <c r="Y16" s="11">
        <f t="shared" si="9"/>
        <v>0.15</v>
      </c>
      <c r="Z16" s="11">
        <f t="shared" si="1"/>
        <v>0.15</v>
      </c>
      <c r="AA16" s="11">
        <f t="shared" si="1"/>
        <v>0.15</v>
      </c>
      <c r="AB16" s="11">
        <f t="shared" si="1"/>
        <v>0.15</v>
      </c>
      <c r="AC16" s="11">
        <f t="shared" si="1"/>
        <v>0.15</v>
      </c>
      <c r="AD16" s="11">
        <f t="shared" si="1"/>
        <v>0.15</v>
      </c>
    </row>
    <row r="17" spans="1:30" ht="15.6" x14ac:dyDescent="0.3">
      <c r="A17" s="10">
        <v>0.45833333333333331</v>
      </c>
      <c r="B17" s="21">
        <v>0.15</v>
      </c>
      <c r="C17" s="21">
        <v>0.15</v>
      </c>
      <c r="D17" s="21">
        <v>0.15</v>
      </c>
      <c r="E17" s="21">
        <v>0.15</v>
      </c>
      <c r="F17" s="21">
        <v>0.15</v>
      </c>
      <c r="G17" s="21">
        <v>0.15</v>
      </c>
      <c r="H17" s="21">
        <v>0.15</v>
      </c>
      <c r="K17" s="10">
        <v>0.45833333333333331</v>
      </c>
      <c r="L17" s="11">
        <f t="shared" si="2"/>
        <v>0.99999999999999944</v>
      </c>
      <c r="M17" s="11">
        <f t="shared" si="3"/>
        <v>1.0000000000000004</v>
      </c>
      <c r="N17" s="11">
        <f t="shared" si="4"/>
        <v>1.0000000000000002</v>
      </c>
      <c r="O17" s="11">
        <f t="shared" si="5"/>
        <v>1.0000000000000002</v>
      </c>
      <c r="P17" s="11">
        <f t="shared" si="6"/>
        <v>0.99999999999999978</v>
      </c>
      <c r="Q17" s="11">
        <f t="shared" si="7"/>
        <v>0.99999999999999978</v>
      </c>
      <c r="R17" s="11">
        <f t="shared" si="8"/>
        <v>1.0000000000000004</v>
      </c>
      <c r="W17" s="10">
        <v>0.45833333333333331</v>
      </c>
      <c r="X17" s="11">
        <f t="shared" si="9"/>
        <v>0.14999999999999997</v>
      </c>
      <c r="Y17" s="11">
        <f t="shared" si="9"/>
        <v>0.15</v>
      </c>
      <c r="Z17" s="11">
        <f t="shared" si="1"/>
        <v>0.15</v>
      </c>
      <c r="AA17" s="11">
        <f t="shared" si="1"/>
        <v>0.15</v>
      </c>
      <c r="AB17" s="11">
        <f t="shared" si="1"/>
        <v>0.15</v>
      </c>
      <c r="AC17" s="11">
        <f t="shared" si="1"/>
        <v>0.15</v>
      </c>
      <c r="AD17" s="11">
        <f t="shared" si="1"/>
        <v>0.15</v>
      </c>
    </row>
    <row r="18" spans="1:30" ht="15.6" x14ac:dyDescent="0.3">
      <c r="A18" s="10">
        <v>0.46875</v>
      </c>
      <c r="B18" s="21">
        <v>0.15</v>
      </c>
      <c r="C18" s="21">
        <v>0.15</v>
      </c>
      <c r="D18" s="21">
        <v>0.15</v>
      </c>
      <c r="E18" s="21">
        <v>0.15</v>
      </c>
      <c r="F18" s="21">
        <v>0.15</v>
      </c>
      <c r="G18" s="21">
        <v>0.15</v>
      </c>
      <c r="H18" s="21">
        <v>0.15</v>
      </c>
      <c r="K18" s="10">
        <v>0.46875</v>
      </c>
      <c r="L18" s="11">
        <f t="shared" si="2"/>
        <v>0.99999999999999944</v>
      </c>
      <c r="M18" s="11">
        <f t="shared" si="3"/>
        <v>1.0000000000000004</v>
      </c>
      <c r="N18" s="11">
        <f t="shared" si="4"/>
        <v>1.0000000000000002</v>
      </c>
      <c r="O18" s="11">
        <f t="shared" si="5"/>
        <v>1.0000000000000002</v>
      </c>
      <c r="P18" s="11">
        <f t="shared" si="6"/>
        <v>0.99999999999999978</v>
      </c>
      <c r="Q18" s="11">
        <f t="shared" si="7"/>
        <v>0.99999999999999978</v>
      </c>
      <c r="R18" s="11">
        <f t="shared" si="8"/>
        <v>1.0000000000000004</v>
      </c>
      <c r="W18" s="10">
        <v>0.46875</v>
      </c>
      <c r="X18" s="11">
        <f t="shared" si="9"/>
        <v>0.14999999999999997</v>
      </c>
      <c r="Y18" s="11">
        <f t="shared" si="9"/>
        <v>0.15</v>
      </c>
      <c r="Z18" s="11">
        <f t="shared" si="1"/>
        <v>0.15</v>
      </c>
      <c r="AA18" s="11">
        <f t="shared" si="1"/>
        <v>0.15</v>
      </c>
      <c r="AB18" s="11">
        <f t="shared" si="1"/>
        <v>0.15</v>
      </c>
      <c r="AC18" s="11">
        <f t="shared" si="1"/>
        <v>0.15</v>
      </c>
      <c r="AD18" s="11">
        <f t="shared" si="1"/>
        <v>0.15</v>
      </c>
    </row>
    <row r="19" spans="1:30" ht="15.6" x14ac:dyDescent="0.3">
      <c r="A19" s="10">
        <v>0.47916666666666669</v>
      </c>
      <c r="B19" s="21">
        <v>0.15</v>
      </c>
      <c r="C19" s="21">
        <v>0.15</v>
      </c>
      <c r="D19" s="21">
        <v>0.15</v>
      </c>
      <c r="E19" s="21">
        <v>0.15</v>
      </c>
      <c r="F19" s="21">
        <v>0.15</v>
      </c>
      <c r="G19" s="21">
        <v>0.15</v>
      </c>
      <c r="H19" s="21">
        <v>0.15</v>
      </c>
      <c r="K19" s="10">
        <v>0.47916666666666669</v>
      </c>
      <c r="L19" s="11">
        <f t="shared" si="2"/>
        <v>0.99999999999999944</v>
      </c>
      <c r="M19" s="11">
        <f t="shared" si="3"/>
        <v>1.0000000000000004</v>
      </c>
      <c r="N19" s="11">
        <f t="shared" si="4"/>
        <v>1.0000000000000002</v>
      </c>
      <c r="O19" s="11">
        <f t="shared" si="5"/>
        <v>1.0000000000000002</v>
      </c>
      <c r="P19" s="11">
        <f t="shared" si="6"/>
        <v>0.99999999999999978</v>
      </c>
      <c r="Q19" s="11">
        <f t="shared" si="7"/>
        <v>0.99999999999999978</v>
      </c>
      <c r="R19" s="11">
        <f t="shared" si="8"/>
        <v>1.0000000000000004</v>
      </c>
      <c r="W19" s="10">
        <v>0.47916666666666669</v>
      </c>
      <c r="X19" s="11">
        <f t="shared" si="9"/>
        <v>0.14999999999999997</v>
      </c>
      <c r="Y19" s="11">
        <f t="shared" si="9"/>
        <v>0.15</v>
      </c>
      <c r="Z19" s="11">
        <f t="shared" si="1"/>
        <v>0.15</v>
      </c>
      <c r="AA19" s="11">
        <f t="shared" si="1"/>
        <v>0.15</v>
      </c>
      <c r="AB19" s="11">
        <f t="shared" si="1"/>
        <v>0.15</v>
      </c>
      <c r="AC19" s="11">
        <f t="shared" si="1"/>
        <v>0.15</v>
      </c>
      <c r="AD19" s="11">
        <f t="shared" si="1"/>
        <v>0.15</v>
      </c>
    </row>
    <row r="20" spans="1:30" ht="15.6" x14ac:dyDescent="0.3">
      <c r="A20" s="10">
        <v>0.48958333333333331</v>
      </c>
      <c r="B20" s="21">
        <v>0.15</v>
      </c>
      <c r="C20" s="21">
        <v>0.15</v>
      </c>
      <c r="D20" s="21">
        <v>0.15</v>
      </c>
      <c r="E20" s="21">
        <v>0.15</v>
      </c>
      <c r="F20" s="21">
        <v>0.15</v>
      </c>
      <c r="G20" s="21">
        <v>0.15</v>
      </c>
      <c r="H20" s="21">
        <v>0.15</v>
      </c>
      <c r="K20" s="10">
        <v>0.48958333333333331</v>
      </c>
      <c r="L20" s="11">
        <f t="shared" si="2"/>
        <v>0.99999999999999944</v>
      </c>
      <c r="M20" s="11">
        <f t="shared" si="3"/>
        <v>1.0000000000000004</v>
      </c>
      <c r="N20" s="11">
        <f t="shared" si="4"/>
        <v>1.0000000000000002</v>
      </c>
      <c r="O20" s="11">
        <f t="shared" si="5"/>
        <v>1.0000000000000002</v>
      </c>
      <c r="P20" s="11">
        <f t="shared" si="6"/>
        <v>0.99999999999999978</v>
      </c>
      <c r="Q20" s="11">
        <f t="shared" si="7"/>
        <v>0.99999999999999978</v>
      </c>
      <c r="R20" s="11">
        <f t="shared" si="8"/>
        <v>1.0000000000000004</v>
      </c>
      <c r="W20" s="10">
        <v>0.48958333333333331</v>
      </c>
      <c r="X20" s="11">
        <f t="shared" si="9"/>
        <v>0.14999999999999997</v>
      </c>
      <c r="Y20" s="11">
        <f t="shared" si="9"/>
        <v>0.15</v>
      </c>
      <c r="Z20" s="11">
        <f t="shared" si="1"/>
        <v>0.15</v>
      </c>
      <c r="AA20" s="11">
        <f t="shared" si="1"/>
        <v>0.15</v>
      </c>
      <c r="AB20" s="11">
        <f t="shared" si="1"/>
        <v>0.15</v>
      </c>
      <c r="AC20" s="11">
        <f t="shared" si="1"/>
        <v>0.15</v>
      </c>
      <c r="AD20" s="11">
        <f t="shared" si="1"/>
        <v>0.15</v>
      </c>
    </row>
    <row r="21" spans="1:30" ht="15.6" x14ac:dyDescent="0.3">
      <c r="A21" s="10">
        <v>0.5</v>
      </c>
      <c r="B21" s="21">
        <v>0.15</v>
      </c>
      <c r="C21" s="21">
        <v>0.15</v>
      </c>
      <c r="D21" s="21">
        <v>0.15</v>
      </c>
      <c r="E21" s="21">
        <v>0.15</v>
      </c>
      <c r="F21" s="21">
        <v>0.15</v>
      </c>
      <c r="G21" s="21">
        <v>0.15</v>
      </c>
      <c r="H21" s="21">
        <v>0.15</v>
      </c>
      <c r="K21" s="10">
        <v>0.5</v>
      </c>
      <c r="L21" s="11">
        <f t="shared" si="2"/>
        <v>0.99999999999999944</v>
      </c>
      <c r="M21" s="11">
        <f t="shared" si="3"/>
        <v>1.0000000000000004</v>
      </c>
      <c r="N21" s="11">
        <f t="shared" si="4"/>
        <v>1.0000000000000002</v>
      </c>
      <c r="O21" s="11">
        <f t="shared" si="5"/>
        <v>1.0000000000000002</v>
      </c>
      <c r="P21" s="11">
        <f t="shared" si="6"/>
        <v>0.99999999999999978</v>
      </c>
      <c r="Q21" s="11">
        <f t="shared" si="7"/>
        <v>0.99999999999999978</v>
      </c>
      <c r="R21" s="11">
        <f t="shared" si="8"/>
        <v>1.0000000000000004</v>
      </c>
      <c r="W21" s="10">
        <v>0.5</v>
      </c>
      <c r="X21" s="11">
        <f t="shared" si="9"/>
        <v>0.14999999999999997</v>
      </c>
      <c r="Y21" s="11">
        <f t="shared" si="9"/>
        <v>0.15</v>
      </c>
      <c r="Z21" s="11">
        <f t="shared" si="9"/>
        <v>0.15</v>
      </c>
      <c r="AA21" s="11">
        <f t="shared" si="9"/>
        <v>0.15</v>
      </c>
      <c r="AB21" s="11">
        <f t="shared" si="9"/>
        <v>0.15</v>
      </c>
      <c r="AC21" s="11">
        <f t="shared" si="9"/>
        <v>0.15</v>
      </c>
      <c r="AD21" s="11">
        <f t="shared" si="9"/>
        <v>0.15</v>
      </c>
    </row>
    <row r="22" spans="1:30" ht="15.6" x14ac:dyDescent="0.3">
      <c r="A22" s="10">
        <v>0.51041666666666663</v>
      </c>
      <c r="B22" s="21">
        <v>0.15</v>
      </c>
      <c r="C22" s="21">
        <v>0.15</v>
      </c>
      <c r="D22" s="21">
        <v>0.15</v>
      </c>
      <c r="E22" s="21">
        <v>0.15</v>
      </c>
      <c r="F22" s="21">
        <v>0.15</v>
      </c>
      <c r="G22" s="21">
        <v>0.15</v>
      </c>
      <c r="H22" s="21">
        <v>0.15</v>
      </c>
      <c r="K22" s="10">
        <v>0.51041666666666663</v>
      </c>
      <c r="L22" s="11">
        <f t="shared" si="2"/>
        <v>0.99999999999999944</v>
      </c>
      <c r="M22" s="11">
        <f t="shared" si="3"/>
        <v>1.0000000000000004</v>
      </c>
      <c r="N22" s="11">
        <f t="shared" si="4"/>
        <v>1.0000000000000002</v>
      </c>
      <c r="O22" s="11">
        <f t="shared" si="5"/>
        <v>1.0000000000000002</v>
      </c>
      <c r="P22" s="11">
        <f t="shared" si="6"/>
        <v>0.99999999999999978</v>
      </c>
      <c r="Q22" s="11">
        <f t="shared" si="7"/>
        <v>0.99999999999999978</v>
      </c>
      <c r="R22" s="11">
        <f t="shared" si="8"/>
        <v>1.0000000000000004</v>
      </c>
      <c r="W22" s="10">
        <v>0.51041666666666663</v>
      </c>
      <c r="X22" s="11">
        <f t="shared" si="9"/>
        <v>0.14999999999999997</v>
      </c>
      <c r="Y22" s="11">
        <f t="shared" si="9"/>
        <v>0.15</v>
      </c>
      <c r="Z22" s="11">
        <f t="shared" si="9"/>
        <v>0.15</v>
      </c>
      <c r="AA22" s="11">
        <f t="shared" si="9"/>
        <v>0.15</v>
      </c>
      <c r="AB22" s="11">
        <f t="shared" si="9"/>
        <v>0.15</v>
      </c>
      <c r="AC22" s="11">
        <f t="shared" si="9"/>
        <v>0.15</v>
      </c>
      <c r="AD22" s="11">
        <f t="shared" si="9"/>
        <v>0.15</v>
      </c>
    </row>
    <row r="23" spans="1:30" ht="15.6" x14ac:dyDescent="0.3">
      <c r="A23" s="10">
        <v>0.52083333333333337</v>
      </c>
      <c r="B23" s="21">
        <v>0.15</v>
      </c>
      <c r="C23" s="21">
        <v>0.15</v>
      </c>
      <c r="D23" s="21">
        <v>0.15</v>
      </c>
      <c r="E23" s="21">
        <v>0.15</v>
      </c>
      <c r="F23" s="21">
        <v>0.15</v>
      </c>
      <c r="G23" s="21">
        <v>0.15</v>
      </c>
      <c r="H23" s="21">
        <v>0.15</v>
      </c>
      <c r="K23" s="10">
        <v>0.52083333333333337</v>
      </c>
      <c r="L23" s="11">
        <f t="shared" si="2"/>
        <v>0.99999999999999944</v>
      </c>
      <c r="M23" s="11">
        <f t="shared" si="3"/>
        <v>1.0000000000000004</v>
      </c>
      <c r="N23" s="11">
        <f t="shared" si="4"/>
        <v>1.0000000000000002</v>
      </c>
      <c r="O23" s="11">
        <f t="shared" si="5"/>
        <v>1.0000000000000002</v>
      </c>
      <c r="P23" s="11">
        <f t="shared" si="6"/>
        <v>0.99999999999999978</v>
      </c>
      <c r="Q23" s="11">
        <f t="shared" si="7"/>
        <v>0.99999999999999978</v>
      </c>
      <c r="R23" s="11">
        <f t="shared" si="8"/>
        <v>1.0000000000000004</v>
      </c>
      <c r="W23" s="10">
        <v>0.52083333333333337</v>
      </c>
      <c r="X23" s="11">
        <f t="shared" si="9"/>
        <v>0.14999999999999997</v>
      </c>
      <c r="Y23" s="11">
        <f t="shared" si="9"/>
        <v>0.15</v>
      </c>
      <c r="Z23" s="11">
        <f t="shared" si="9"/>
        <v>0.15</v>
      </c>
      <c r="AA23" s="11">
        <f t="shared" si="9"/>
        <v>0.15</v>
      </c>
      <c r="AB23" s="11">
        <f t="shared" si="9"/>
        <v>0.15</v>
      </c>
      <c r="AC23" s="11">
        <f t="shared" si="9"/>
        <v>0.15</v>
      </c>
      <c r="AD23" s="11">
        <f t="shared" si="9"/>
        <v>0.15</v>
      </c>
    </row>
    <row r="24" spans="1:30" ht="15.6" x14ac:dyDescent="0.3">
      <c r="A24" s="10">
        <v>0.53125</v>
      </c>
      <c r="B24" s="21">
        <v>0.15</v>
      </c>
      <c r="C24" s="21">
        <v>0.15</v>
      </c>
      <c r="D24" s="21">
        <v>0.15</v>
      </c>
      <c r="E24" s="21">
        <v>0.15</v>
      </c>
      <c r="F24" s="21">
        <v>0.15</v>
      </c>
      <c r="G24" s="21">
        <v>0.15</v>
      </c>
      <c r="H24" s="21">
        <v>0.15</v>
      </c>
      <c r="K24" s="10">
        <v>0.53125</v>
      </c>
      <c r="L24" s="11">
        <f t="shared" si="2"/>
        <v>0.99999999999999944</v>
      </c>
      <c r="M24" s="11">
        <f t="shared" si="3"/>
        <v>1.0000000000000004</v>
      </c>
      <c r="N24" s="11">
        <f t="shared" si="4"/>
        <v>1.0000000000000002</v>
      </c>
      <c r="O24" s="11">
        <f t="shared" si="5"/>
        <v>1.0000000000000002</v>
      </c>
      <c r="P24" s="11">
        <f t="shared" si="6"/>
        <v>0.99999999999999978</v>
      </c>
      <c r="Q24" s="11">
        <f t="shared" si="7"/>
        <v>0.99999999999999978</v>
      </c>
      <c r="R24" s="11">
        <f t="shared" si="8"/>
        <v>1.0000000000000004</v>
      </c>
      <c r="W24" s="10">
        <v>0.53125</v>
      </c>
      <c r="X24" s="11">
        <f t="shared" si="9"/>
        <v>0.14999999999999997</v>
      </c>
      <c r="Y24" s="11">
        <f t="shared" si="9"/>
        <v>0.15</v>
      </c>
      <c r="Z24" s="11">
        <f t="shared" si="9"/>
        <v>0.15</v>
      </c>
      <c r="AA24" s="11">
        <f t="shared" si="9"/>
        <v>0.15</v>
      </c>
      <c r="AB24" s="11">
        <f t="shared" si="9"/>
        <v>0.15</v>
      </c>
      <c r="AC24" s="11">
        <f t="shared" si="9"/>
        <v>0.15</v>
      </c>
      <c r="AD24" s="11">
        <f t="shared" si="9"/>
        <v>0.15</v>
      </c>
    </row>
    <row r="25" spans="1:30" ht="15.6" x14ac:dyDescent="0.3">
      <c r="A25" s="10">
        <v>0.54166666666666663</v>
      </c>
      <c r="B25" s="21">
        <v>0.15</v>
      </c>
      <c r="C25" s="21">
        <v>0.15</v>
      </c>
      <c r="D25" s="21">
        <v>0.15</v>
      </c>
      <c r="E25" s="21">
        <v>0.15</v>
      </c>
      <c r="F25" s="21">
        <v>0.15</v>
      </c>
      <c r="G25" s="21">
        <v>0.15</v>
      </c>
      <c r="H25" s="21">
        <v>0.15</v>
      </c>
      <c r="K25" s="10">
        <v>0.54166666666666663</v>
      </c>
      <c r="L25" s="11">
        <f t="shared" si="2"/>
        <v>0.99999999999999944</v>
      </c>
      <c r="M25" s="11">
        <f t="shared" si="3"/>
        <v>1.0000000000000004</v>
      </c>
      <c r="N25" s="11">
        <f t="shared" si="4"/>
        <v>1.0000000000000002</v>
      </c>
      <c r="O25" s="11">
        <f t="shared" si="5"/>
        <v>1.0000000000000002</v>
      </c>
      <c r="P25" s="11">
        <f t="shared" si="6"/>
        <v>0.99999999999999978</v>
      </c>
      <c r="Q25" s="11">
        <f t="shared" si="7"/>
        <v>0.99999999999999978</v>
      </c>
      <c r="R25" s="11">
        <f t="shared" si="8"/>
        <v>1.0000000000000004</v>
      </c>
      <c r="W25" s="10">
        <v>0.54166666666666663</v>
      </c>
      <c r="X25" s="11">
        <f t="shared" si="9"/>
        <v>0.14999999999999997</v>
      </c>
      <c r="Y25" s="11">
        <f t="shared" si="9"/>
        <v>0.15</v>
      </c>
      <c r="Z25" s="11">
        <f t="shared" si="9"/>
        <v>0.15</v>
      </c>
      <c r="AA25" s="11">
        <f t="shared" si="9"/>
        <v>0.15</v>
      </c>
      <c r="AB25" s="11">
        <f t="shared" si="9"/>
        <v>0.15</v>
      </c>
      <c r="AC25" s="11">
        <f t="shared" si="9"/>
        <v>0.15</v>
      </c>
      <c r="AD25" s="11">
        <f t="shared" si="9"/>
        <v>0.15</v>
      </c>
    </row>
    <row r="26" spans="1:30" ht="15.6" x14ac:dyDescent="0.3">
      <c r="A26" s="10">
        <v>0.55208333333333337</v>
      </c>
      <c r="B26" s="21">
        <v>0.15</v>
      </c>
      <c r="C26" s="21">
        <v>0.15</v>
      </c>
      <c r="D26" s="21">
        <v>0.15</v>
      </c>
      <c r="E26" s="21">
        <v>0.15</v>
      </c>
      <c r="F26" s="21">
        <v>0.15</v>
      </c>
      <c r="G26" s="21">
        <v>0.15</v>
      </c>
      <c r="H26" s="21">
        <v>0.15</v>
      </c>
      <c r="K26" s="10">
        <v>0.55208333333333337</v>
      </c>
      <c r="L26" s="11">
        <f t="shared" si="2"/>
        <v>0.99999999999999944</v>
      </c>
      <c r="M26" s="11">
        <f t="shared" si="3"/>
        <v>1.0000000000000004</v>
      </c>
      <c r="N26" s="11">
        <f t="shared" si="4"/>
        <v>1.0000000000000002</v>
      </c>
      <c r="O26" s="11">
        <f t="shared" si="5"/>
        <v>1.0000000000000002</v>
      </c>
      <c r="P26" s="11">
        <f t="shared" si="6"/>
        <v>0.99999999999999978</v>
      </c>
      <c r="Q26" s="11">
        <f t="shared" si="7"/>
        <v>0.99999999999999978</v>
      </c>
      <c r="R26" s="11">
        <f t="shared" si="8"/>
        <v>1.0000000000000004</v>
      </c>
      <c r="W26" s="10">
        <v>0.55208333333333337</v>
      </c>
      <c r="X26" s="11">
        <f t="shared" si="9"/>
        <v>0.14999999999999997</v>
      </c>
      <c r="Y26" s="11">
        <f t="shared" si="9"/>
        <v>0.15</v>
      </c>
      <c r="Z26" s="11">
        <f t="shared" si="9"/>
        <v>0.15</v>
      </c>
      <c r="AA26" s="11">
        <f t="shared" si="9"/>
        <v>0.15</v>
      </c>
      <c r="AB26" s="11">
        <f t="shared" si="9"/>
        <v>0.15</v>
      </c>
      <c r="AC26" s="11">
        <f t="shared" si="9"/>
        <v>0.15</v>
      </c>
      <c r="AD26" s="11">
        <f t="shared" si="9"/>
        <v>0.15</v>
      </c>
    </row>
    <row r="27" spans="1:30" ht="15.6" x14ac:dyDescent="0.3">
      <c r="A27" s="10">
        <v>0.5625</v>
      </c>
      <c r="B27" s="21">
        <v>0.15</v>
      </c>
      <c r="C27" s="21">
        <v>0.15</v>
      </c>
      <c r="D27" s="21">
        <v>0.15</v>
      </c>
      <c r="E27" s="21">
        <v>0.15</v>
      </c>
      <c r="F27" s="21">
        <v>0.15</v>
      </c>
      <c r="G27" s="21">
        <v>0.15</v>
      </c>
      <c r="H27" s="21">
        <v>0.15</v>
      </c>
      <c r="K27" s="10">
        <v>0.5625</v>
      </c>
      <c r="L27" s="11">
        <f t="shared" si="2"/>
        <v>0.99999999999999944</v>
      </c>
      <c r="M27" s="11">
        <f t="shared" si="3"/>
        <v>1.0000000000000004</v>
      </c>
      <c r="N27" s="11">
        <f t="shared" si="4"/>
        <v>1.0000000000000002</v>
      </c>
      <c r="O27" s="11">
        <f t="shared" si="5"/>
        <v>1.0000000000000002</v>
      </c>
      <c r="P27" s="11">
        <f t="shared" si="6"/>
        <v>0.99999999999999978</v>
      </c>
      <c r="Q27" s="11">
        <f t="shared" si="7"/>
        <v>0.99999999999999978</v>
      </c>
      <c r="R27" s="11">
        <f t="shared" si="8"/>
        <v>1.0000000000000004</v>
      </c>
      <c r="W27" s="10">
        <v>0.5625</v>
      </c>
      <c r="X27" s="11">
        <f t="shared" si="9"/>
        <v>0.14999999999999997</v>
      </c>
      <c r="Y27" s="11">
        <f t="shared" si="9"/>
        <v>0.15</v>
      </c>
      <c r="Z27" s="11">
        <f t="shared" si="9"/>
        <v>0.15</v>
      </c>
      <c r="AA27" s="11">
        <f t="shared" si="9"/>
        <v>0.15</v>
      </c>
      <c r="AB27" s="11">
        <f t="shared" si="9"/>
        <v>0.15</v>
      </c>
      <c r="AC27" s="11">
        <f t="shared" si="9"/>
        <v>0.15</v>
      </c>
      <c r="AD27" s="11">
        <f t="shared" si="9"/>
        <v>0.15</v>
      </c>
    </row>
    <row r="28" spans="1:30" ht="15.6" x14ac:dyDescent="0.3">
      <c r="A28" s="10">
        <v>0.57291666666666663</v>
      </c>
      <c r="B28" s="21">
        <v>0.15</v>
      </c>
      <c r="C28" s="21">
        <v>0.15</v>
      </c>
      <c r="D28" s="21">
        <v>0.15</v>
      </c>
      <c r="E28" s="21">
        <v>0.15</v>
      </c>
      <c r="F28" s="21">
        <v>0.15</v>
      </c>
      <c r="G28" s="21">
        <v>0.15</v>
      </c>
      <c r="H28" s="21">
        <v>0.15</v>
      </c>
      <c r="K28" s="10">
        <v>0.57291666666666663</v>
      </c>
      <c r="L28" s="11">
        <f t="shared" si="2"/>
        <v>0.99999999999999944</v>
      </c>
      <c r="M28" s="11">
        <f t="shared" si="3"/>
        <v>1.0000000000000004</v>
      </c>
      <c r="N28" s="11">
        <f t="shared" si="4"/>
        <v>1.0000000000000002</v>
      </c>
      <c r="O28" s="11">
        <f t="shared" si="5"/>
        <v>1.0000000000000002</v>
      </c>
      <c r="P28" s="11">
        <f t="shared" si="6"/>
        <v>0.99999999999999978</v>
      </c>
      <c r="Q28" s="11">
        <f t="shared" si="7"/>
        <v>0.99999999999999978</v>
      </c>
      <c r="R28" s="11">
        <f t="shared" si="8"/>
        <v>1.0000000000000004</v>
      </c>
      <c r="W28" s="10">
        <v>0.57291666666666663</v>
      </c>
      <c r="X28" s="11">
        <f t="shared" si="9"/>
        <v>0.14999999999999997</v>
      </c>
      <c r="Y28" s="11">
        <f t="shared" si="9"/>
        <v>0.15</v>
      </c>
      <c r="Z28" s="11">
        <f t="shared" si="9"/>
        <v>0.15</v>
      </c>
      <c r="AA28" s="11">
        <f t="shared" si="9"/>
        <v>0.15</v>
      </c>
      <c r="AB28" s="11">
        <f t="shared" si="9"/>
        <v>0.15</v>
      </c>
      <c r="AC28" s="11">
        <f t="shared" si="9"/>
        <v>0.15</v>
      </c>
      <c r="AD28" s="11">
        <f t="shared" si="9"/>
        <v>0.15</v>
      </c>
    </row>
    <row r="29" spans="1:30" ht="15.6" x14ac:dyDescent="0.3">
      <c r="A29" s="10">
        <v>0.58333333333333337</v>
      </c>
      <c r="B29" s="21">
        <v>0.15</v>
      </c>
      <c r="C29" s="21">
        <v>0.15</v>
      </c>
      <c r="D29" s="21">
        <v>0.15</v>
      </c>
      <c r="E29" s="21">
        <v>0.15</v>
      </c>
      <c r="F29" s="21">
        <v>0.15</v>
      </c>
      <c r="G29" s="21">
        <v>0.15</v>
      </c>
      <c r="H29" s="21">
        <v>0.15</v>
      </c>
      <c r="K29" s="10">
        <v>0.58333333333333337</v>
      </c>
      <c r="L29" s="11">
        <f t="shared" si="2"/>
        <v>0.99999999999999944</v>
      </c>
      <c r="M29" s="11">
        <f t="shared" si="3"/>
        <v>1.0000000000000004</v>
      </c>
      <c r="N29" s="11">
        <f t="shared" si="4"/>
        <v>1.0000000000000002</v>
      </c>
      <c r="O29" s="11">
        <f t="shared" si="5"/>
        <v>1.0000000000000002</v>
      </c>
      <c r="P29" s="11">
        <f t="shared" si="6"/>
        <v>0.99999999999999978</v>
      </c>
      <c r="Q29" s="11">
        <f t="shared" si="7"/>
        <v>0.99999999999999978</v>
      </c>
      <c r="R29" s="11">
        <f t="shared" si="8"/>
        <v>1.0000000000000004</v>
      </c>
      <c r="W29" s="10">
        <v>0.58333333333333337</v>
      </c>
      <c r="X29" s="11">
        <f t="shared" si="9"/>
        <v>0.14999999999999997</v>
      </c>
      <c r="Y29" s="11">
        <f t="shared" si="9"/>
        <v>0.15</v>
      </c>
      <c r="Z29" s="11">
        <f t="shared" si="9"/>
        <v>0.15</v>
      </c>
      <c r="AA29" s="11">
        <f t="shared" si="9"/>
        <v>0.15</v>
      </c>
      <c r="AB29" s="11">
        <f t="shared" si="9"/>
        <v>0.15</v>
      </c>
      <c r="AC29" s="11">
        <f t="shared" si="9"/>
        <v>0.15</v>
      </c>
      <c r="AD29" s="11">
        <f t="shared" si="9"/>
        <v>0.15</v>
      </c>
    </row>
    <row r="30" spans="1:30" ht="15.6" x14ac:dyDescent="0.3">
      <c r="A30" s="10">
        <v>0.59375</v>
      </c>
      <c r="B30" s="21">
        <v>0.15</v>
      </c>
      <c r="C30" s="21">
        <v>0.15</v>
      </c>
      <c r="D30" s="21">
        <v>0.15</v>
      </c>
      <c r="E30" s="21">
        <v>0.15</v>
      </c>
      <c r="F30" s="21">
        <v>0.15</v>
      </c>
      <c r="G30" s="21">
        <v>0.15</v>
      </c>
      <c r="H30" s="21">
        <v>0.15</v>
      </c>
      <c r="K30" s="10">
        <v>0.59375</v>
      </c>
      <c r="L30" s="11">
        <f t="shared" si="2"/>
        <v>0.99999999999999944</v>
      </c>
      <c r="M30" s="11">
        <f t="shared" si="3"/>
        <v>1.0000000000000004</v>
      </c>
      <c r="N30" s="11">
        <f t="shared" si="4"/>
        <v>1.0000000000000002</v>
      </c>
      <c r="O30" s="11">
        <f t="shared" si="5"/>
        <v>1.0000000000000002</v>
      </c>
      <c r="P30" s="11">
        <f t="shared" si="6"/>
        <v>0.99999999999999978</v>
      </c>
      <c r="Q30" s="11">
        <f t="shared" si="7"/>
        <v>0.99999999999999978</v>
      </c>
      <c r="R30" s="11">
        <f t="shared" si="8"/>
        <v>1.0000000000000004</v>
      </c>
      <c r="W30" s="10">
        <v>0.59375</v>
      </c>
      <c r="X30" s="11">
        <f t="shared" si="9"/>
        <v>0.14999999999999997</v>
      </c>
      <c r="Y30" s="11">
        <f t="shared" si="9"/>
        <v>0.15</v>
      </c>
      <c r="Z30" s="11">
        <f t="shared" si="9"/>
        <v>0.15</v>
      </c>
      <c r="AA30" s="11">
        <f t="shared" si="9"/>
        <v>0.15</v>
      </c>
      <c r="AB30" s="11">
        <f t="shared" si="9"/>
        <v>0.15</v>
      </c>
      <c r="AC30" s="11">
        <f t="shared" si="9"/>
        <v>0.15</v>
      </c>
      <c r="AD30" s="11">
        <f t="shared" si="9"/>
        <v>0.15</v>
      </c>
    </row>
    <row r="31" spans="1:30" ht="15.6" x14ac:dyDescent="0.3">
      <c r="A31" s="10">
        <v>0.60416666666666663</v>
      </c>
      <c r="B31" s="21">
        <v>0.15</v>
      </c>
      <c r="C31" s="21">
        <v>0.15</v>
      </c>
      <c r="D31" s="21">
        <v>0.15</v>
      </c>
      <c r="E31" s="21">
        <v>0.15</v>
      </c>
      <c r="F31" s="21">
        <v>0.15</v>
      </c>
      <c r="G31" s="21">
        <v>0.15</v>
      </c>
      <c r="H31" s="21">
        <v>0.15</v>
      </c>
      <c r="K31" s="10">
        <v>0.60416666666666663</v>
      </c>
      <c r="L31" s="11">
        <f t="shared" si="2"/>
        <v>0.99999999999999944</v>
      </c>
      <c r="M31" s="11">
        <f t="shared" si="3"/>
        <v>1.0000000000000004</v>
      </c>
      <c r="N31" s="11">
        <f t="shared" si="4"/>
        <v>1.0000000000000002</v>
      </c>
      <c r="O31" s="11">
        <f t="shared" si="5"/>
        <v>1.0000000000000002</v>
      </c>
      <c r="P31" s="11">
        <f t="shared" si="6"/>
        <v>0.99999999999999978</v>
      </c>
      <c r="Q31" s="11">
        <f t="shared" si="7"/>
        <v>0.99999999999999978</v>
      </c>
      <c r="R31" s="11">
        <f t="shared" si="8"/>
        <v>1.0000000000000004</v>
      </c>
      <c r="W31" s="10">
        <v>0.60416666666666663</v>
      </c>
      <c r="X31" s="11">
        <f t="shared" si="9"/>
        <v>0.14999999999999997</v>
      </c>
      <c r="Y31" s="11">
        <f t="shared" si="9"/>
        <v>0.15</v>
      </c>
      <c r="Z31" s="11">
        <f t="shared" si="9"/>
        <v>0.15</v>
      </c>
      <c r="AA31" s="11">
        <f t="shared" si="9"/>
        <v>0.15</v>
      </c>
      <c r="AB31" s="11">
        <f t="shared" si="9"/>
        <v>0.15</v>
      </c>
      <c r="AC31" s="11">
        <f t="shared" si="9"/>
        <v>0.15</v>
      </c>
      <c r="AD31" s="11">
        <f t="shared" si="9"/>
        <v>0.15</v>
      </c>
    </row>
    <row r="32" spans="1:30" ht="15.6" x14ac:dyDescent="0.3">
      <c r="A32" s="10">
        <v>0.61458333333333337</v>
      </c>
      <c r="B32" s="21">
        <v>0.15</v>
      </c>
      <c r="C32" s="21">
        <v>0.15</v>
      </c>
      <c r="D32" s="21">
        <v>0.15</v>
      </c>
      <c r="E32" s="21">
        <v>0.15</v>
      </c>
      <c r="F32" s="21">
        <v>0.15</v>
      </c>
      <c r="G32" s="21">
        <v>0.15</v>
      </c>
      <c r="H32" s="21">
        <v>0.15</v>
      </c>
      <c r="K32" s="10">
        <v>0.61458333333333337</v>
      </c>
      <c r="L32" s="11">
        <f t="shared" si="2"/>
        <v>0.99999999999999944</v>
      </c>
      <c r="M32" s="11">
        <f t="shared" si="3"/>
        <v>1.0000000000000004</v>
      </c>
      <c r="N32" s="11">
        <f t="shared" si="4"/>
        <v>1.0000000000000002</v>
      </c>
      <c r="O32" s="11">
        <f t="shared" si="5"/>
        <v>1.0000000000000002</v>
      </c>
      <c r="P32" s="11">
        <f t="shared" si="6"/>
        <v>0.99999999999999978</v>
      </c>
      <c r="Q32" s="11">
        <f t="shared" si="7"/>
        <v>0.99999999999999978</v>
      </c>
      <c r="R32" s="11">
        <f t="shared" si="8"/>
        <v>1.0000000000000004</v>
      </c>
      <c r="W32" s="10">
        <v>0.61458333333333337</v>
      </c>
      <c r="X32" s="11">
        <f t="shared" si="9"/>
        <v>0.14999999999999997</v>
      </c>
      <c r="Y32" s="11">
        <f t="shared" si="9"/>
        <v>0.15</v>
      </c>
      <c r="Z32" s="11">
        <f t="shared" si="9"/>
        <v>0.15</v>
      </c>
      <c r="AA32" s="11">
        <f t="shared" si="9"/>
        <v>0.15</v>
      </c>
      <c r="AB32" s="11">
        <f t="shared" si="9"/>
        <v>0.15</v>
      </c>
      <c r="AC32" s="11">
        <f t="shared" si="9"/>
        <v>0.15</v>
      </c>
      <c r="AD32" s="11">
        <f t="shared" si="9"/>
        <v>0.15</v>
      </c>
    </row>
    <row r="33" spans="1:30" ht="15.6" x14ac:dyDescent="0.3">
      <c r="A33" s="10">
        <v>0.625</v>
      </c>
      <c r="B33" s="21">
        <v>0.15</v>
      </c>
      <c r="C33" s="21">
        <v>0.15</v>
      </c>
      <c r="D33" s="21">
        <v>0.15</v>
      </c>
      <c r="E33" s="21">
        <v>0.15</v>
      </c>
      <c r="F33" s="21">
        <v>0.15</v>
      </c>
      <c r="G33" s="21">
        <v>0.15</v>
      </c>
      <c r="H33" s="21">
        <v>0.15</v>
      </c>
      <c r="K33" s="10">
        <v>0.625</v>
      </c>
      <c r="L33" s="11">
        <f t="shared" si="2"/>
        <v>0.99999999999999944</v>
      </c>
      <c r="M33" s="11">
        <f t="shared" si="3"/>
        <v>1.0000000000000004</v>
      </c>
      <c r="N33" s="11">
        <f t="shared" si="4"/>
        <v>1.0000000000000002</v>
      </c>
      <c r="O33" s="11">
        <f t="shared" si="5"/>
        <v>1.0000000000000002</v>
      </c>
      <c r="P33" s="11">
        <f t="shared" si="6"/>
        <v>0.99999999999999978</v>
      </c>
      <c r="Q33" s="11">
        <f t="shared" si="7"/>
        <v>0.99999999999999978</v>
      </c>
      <c r="R33" s="11">
        <f t="shared" si="8"/>
        <v>1.0000000000000004</v>
      </c>
      <c r="W33" s="10">
        <v>0.625</v>
      </c>
      <c r="X33" s="11">
        <f t="shared" si="9"/>
        <v>0.14999999999999997</v>
      </c>
      <c r="Y33" s="11">
        <f t="shared" si="9"/>
        <v>0.15</v>
      </c>
      <c r="Z33" s="11">
        <f t="shared" si="9"/>
        <v>0.15</v>
      </c>
      <c r="AA33" s="11">
        <f t="shared" si="9"/>
        <v>0.15</v>
      </c>
      <c r="AB33" s="11">
        <f t="shared" si="9"/>
        <v>0.15</v>
      </c>
      <c r="AC33" s="11">
        <f t="shared" si="9"/>
        <v>0.15</v>
      </c>
      <c r="AD33" s="11">
        <f t="shared" si="9"/>
        <v>0.15</v>
      </c>
    </row>
    <row r="34" spans="1:30" ht="15.6" x14ac:dyDescent="0.3">
      <c r="A34" s="10">
        <v>0.63541666666666663</v>
      </c>
      <c r="B34" s="21">
        <v>0.15</v>
      </c>
      <c r="C34" s="21">
        <v>0.15</v>
      </c>
      <c r="D34" s="21">
        <v>0.15</v>
      </c>
      <c r="E34" s="21">
        <v>0.15</v>
      </c>
      <c r="F34" s="21">
        <v>0.15</v>
      </c>
      <c r="G34" s="21">
        <v>0.15</v>
      </c>
      <c r="H34" s="21">
        <v>0.15</v>
      </c>
      <c r="K34" s="10">
        <v>0.63541666666666663</v>
      </c>
      <c r="L34" s="11">
        <f t="shared" si="2"/>
        <v>0.99999999999999944</v>
      </c>
      <c r="M34" s="11">
        <f t="shared" si="3"/>
        <v>1.0000000000000004</v>
      </c>
      <c r="N34" s="11">
        <f t="shared" si="4"/>
        <v>1.0000000000000002</v>
      </c>
      <c r="O34" s="11">
        <f t="shared" si="5"/>
        <v>1.0000000000000002</v>
      </c>
      <c r="P34" s="11">
        <f t="shared" si="6"/>
        <v>0.99999999999999978</v>
      </c>
      <c r="Q34" s="11">
        <f t="shared" si="7"/>
        <v>0.99999999999999978</v>
      </c>
      <c r="R34" s="11">
        <f t="shared" si="8"/>
        <v>1.0000000000000004</v>
      </c>
      <c r="W34" s="10">
        <v>0.63541666666666663</v>
      </c>
      <c r="X34" s="11">
        <f t="shared" si="9"/>
        <v>0.14999999999999997</v>
      </c>
      <c r="Y34" s="11">
        <f t="shared" si="9"/>
        <v>0.15</v>
      </c>
      <c r="Z34" s="11">
        <f t="shared" si="9"/>
        <v>0.15</v>
      </c>
      <c r="AA34" s="11">
        <f t="shared" si="9"/>
        <v>0.15</v>
      </c>
      <c r="AB34" s="11">
        <f t="shared" si="9"/>
        <v>0.15</v>
      </c>
      <c r="AC34" s="11">
        <f t="shared" si="9"/>
        <v>0.15</v>
      </c>
      <c r="AD34" s="11">
        <f t="shared" si="9"/>
        <v>0.15</v>
      </c>
    </row>
    <row r="35" spans="1:30" ht="15.6" x14ac:dyDescent="0.3">
      <c r="A35" s="10">
        <v>0.64583333333333337</v>
      </c>
      <c r="B35" s="21">
        <v>0.15</v>
      </c>
      <c r="C35" s="21">
        <v>0.15</v>
      </c>
      <c r="D35" s="21">
        <v>0.15</v>
      </c>
      <c r="E35" s="21">
        <v>0.15</v>
      </c>
      <c r="F35" s="21">
        <v>0.15</v>
      </c>
      <c r="G35" s="21">
        <v>0.15</v>
      </c>
      <c r="H35" s="21">
        <v>0.15</v>
      </c>
      <c r="K35" s="10">
        <v>0.64583333333333337</v>
      </c>
      <c r="L35" s="11">
        <f t="shared" si="2"/>
        <v>0.99999999999999944</v>
      </c>
      <c r="M35" s="11">
        <f t="shared" si="3"/>
        <v>1.0000000000000004</v>
      </c>
      <c r="N35" s="11">
        <f t="shared" si="4"/>
        <v>1.0000000000000002</v>
      </c>
      <c r="O35" s="11">
        <f t="shared" si="5"/>
        <v>1.0000000000000002</v>
      </c>
      <c r="P35" s="11">
        <f t="shared" si="6"/>
        <v>0.99999999999999978</v>
      </c>
      <c r="Q35" s="11">
        <f t="shared" si="7"/>
        <v>0.99999999999999978</v>
      </c>
      <c r="R35" s="11">
        <f t="shared" si="8"/>
        <v>1.0000000000000004</v>
      </c>
      <c r="W35" s="10">
        <v>0.64583333333333337</v>
      </c>
      <c r="X35" s="11">
        <f t="shared" si="9"/>
        <v>0.14999999999999997</v>
      </c>
      <c r="Y35" s="11">
        <f t="shared" si="9"/>
        <v>0.15</v>
      </c>
      <c r="Z35" s="11">
        <f t="shared" si="9"/>
        <v>0.15</v>
      </c>
      <c r="AA35" s="11">
        <f t="shared" si="9"/>
        <v>0.15</v>
      </c>
      <c r="AB35" s="11">
        <f t="shared" si="9"/>
        <v>0.15</v>
      </c>
      <c r="AC35" s="11">
        <f t="shared" si="9"/>
        <v>0.15</v>
      </c>
      <c r="AD35" s="11">
        <f t="shared" si="9"/>
        <v>0.15</v>
      </c>
    </row>
    <row r="36" spans="1:30" ht="15.6" x14ac:dyDescent="0.3">
      <c r="A36" s="10">
        <v>0.65625</v>
      </c>
      <c r="B36" s="21">
        <v>0.15</v>
      </c>
      <c r="C36" s="21">
        <v>0.15</v>
      </c>
      <c r="D36" s="21">
        <v>0.15</v>
      </c>
      <c r="E36" s="21">
        <v>0.15</v>
      </c>
      <c r="F36" s="21">
        <v>0.15</v>
      </c>
      <c r="G36" s="21">
        <v>0.15</v>
      </c>
      <c r="H36" s="21">
        <v>0.15</v>
      </c>
      <c r="K36" s="10">
        <v>0.65625</v>
      </c>
      <c r="L36" s="11">
        <f t="shared" si="2"/>
        <v>0.99999999999999944</v>
      </c>
      <c r="M36" s="11">
        <f t="shared" si="3"/>
        <v>1.0000000000000004</v>
      </c>
      <c r="N36" s="11">
        <f t="shared" si="4"/>
        <v>1.0000000000000002</v>
      </c>
      <c r="O36" s="11">
        <f t="shared" si="5"/>
        <v>1.0000000000000002</v>
      </c>
      <c r="P36" s="11">
        <f t="shared" si="6"/>
        <v>0.99999999999999978</v>
      </c>
      <c r="Q36" s="11">
        <f t="shared" si="7"/>
        <v>0.99999999999999978</v>
      </c>
      <c r="R36" s="11">
        <f t="shared" si="8"/>
        <v>1.0000000000000004</v>
      </c>
      <c r="W36" s="10">
        <v>0.65625</v>
      </c>
      <c r="X36" s="11">
        <f t="shared" si="9"/>
        <v>0.14999999999999997</v>
      </c>
      <c r="Y36" s="11">
        <f t="shared" si="9"/>
        <v>0.15</v>
      </c>
      <c r="Z36" s="11">
        <f t="shared" si="9"/>
        <v>0.15</v>
      </c>
      <c r="AA36" s="11">
        <f t="shared" si="9"/>
        <v>0.15</v>
      </c>
      <c r="AB36" s="11">
        <f t="shared" si="9"/>
        <v>0.15</v>
      </c>
      <c r="AC36" s="11">
        <f t="shared" si="9"/>
        <v>0.15</v>
      </c>
      <c r="AD36" s="11">
        <f t="shared" si="9"/>
        <v>0.15</v>
      </c>
    </row>
    <row r="37" spans="1:30" ht="15.6" x14ac:dyDescent="0.3">
      <c r="A37" s="10">
        <v>0.66666666666666663</v>
      </c>
      <c r="B37" s="21">
        <v>0.15</v>
      </c>
      <c r="C37" s="21">
        <v>0.15</v>
      </c>
      <c r="D37" s="21">
        <v>0.15</v>
      </c>
      <c r="E37" s="21">
        <v>0.15</v>
      </c>
      <c r="F37" s="21">
        <v>0.15</v>
      </c>
      <c r="G37" s="21">
        <v>0.15</v>
      </c>
      <c r="H37" s="21">
        <v>0.15</v>
      </c>
      <c r="K37" s="10">
        <v>0.66666666666666663</v>
      </c>
      <c r="L37" s="11">
        <f t="shared" si="2"/>
        <v>0.99999999999999944</v>
      </c>
      <c r="M37" s="11">
        <f t="shared" si="3"/>
        <v>1.0000000000000004</v>
      </c>
      <c r="N37" s="11">
        <f t="shared" si="4"/>
        <v>1.0000000000000002</v>
      </c>
      <c r="O37" s="11">
        <f t="shared" si="5"/>
        <v>1.0000000000000002</v>
      </c>
      <c r="P37" s="11">
        <f t="shared" si="6"/>
        <v>0.99999999999999978</v>
      </c>
      <c r="Q37" s="11">
        <f t="shared" si="7"/>
        <v>0.99999999999999978</v>
      </c>
      <c r="R37" s="11">
        <f t="shared" si="8"/>
        <v>1.0000000000000004</v>
      </c>
      <c r="W37" s="10">
        <v>0.66666666666666663</v>
      </c>
      <c r="X37" s="11">
        <f t="shared" si="9"/>
        <v>0.14999999999999997</v>
      </c>
      <c r="Y37" s="11">
        <f t="shared" si="9"/>
        <v>0.15</v>
      </c>
      <c r="Z37" s="11">
        <f t="shared" si="9"/>
        <v>0.15</v>
      </c>
      <c r="AA37" s="11">
        <f t="shared" si="9"/>
        <v>0.15</v>
      </c>
      <c r="AB37" s="11">
        <f t="shared" si="9"/>
        <v>0.15</v>
      </c>
      <c r="AC37" s="11">
        <f t="shared" si="9"/>
        <v>0.15</v>
      </c>
      <c r="AD37" s="11">
        <f t="shared" si="9"/>
        <v>0.15</v>
      </c>
    </row>
    <row r="38" spans="1:30" ht="15.6" x14ac:dyDescent="0.3">
      <c r="A38" s="10">
        <v>0.67708333333333337</v>
      </c>
      <c r="B38" s="21">
        <v>0.15</v>
      </c>
      <c r="C38" s="21">
        <v>0.15</v>
      </c>
      <c r="D38" s="21">
        <v>0.15</v>
      </c>
      <c r="E38" s="21">
        <v>0.15</v>
      </c>
      <c r="F38" s="21">
        <v>0.15</v>
      </c>
      <c r="G38" s="21">
        <v>0.15</v>
      </c>
      <c r="H38" s="21">
        <v>0.15</v>
      </c>
      <c r="K38" s="10">
        <v>0.67708333333333337</v>
      </c>
      <c r="L38" s="11">
        <f t="shared" si="2"/>
        <v>0.99999999999999944</v>
      </c>
      <c r="M38" s="11">
        <f t="shared" si="3"/>
        <v>1.0000000000000004</v>
      </c>
      <c r="N38" s="11">
        <f t="shared" si="4"/>
        <v>1.0000000000000002</v>
      </c>
      <c r="O38" s="11">
        <f t="shared" si="5"/>
        <v>1.0000000000000002</v>
      </c>
      <c r="P38" s="11">
        <f t="shared" si="6"/>
        <v>0.99999999999999978</v>
      </c>
      <c r="Q38" s="11">
        <f t="shared" si="7"/>
        <v>0.99999999999999978</v>
      </c>
      <c r="R38" s="11">
        <f t="shared" si="8"/>
        <v>1.0000000000000004</v>
      </c>
      <c r="W38" s="10">
        <v>0.67708333333333337</v>
      </c>
      <c r="X38" s="11">
        <f t="shared" si="9"/>
        <v>0.14999999999999997</v>
      </c>
      <c r="Y38" s="11">
        <f t="shared" si="9"/>
        <v>0.15</v>
      </c>
      <c r="Z38" s="11">
        <f t="shared" si="9"/>
        <v>0.15</v>
      </c>
      <c r="AA38" s="11">
        <f t="shared" si="9"/>
        <v>0.15</v>
      </c>
      <c r="AB38" s="11">
        <f t="shared" si="9"/>
        <v>0.15</v>
      </c>
      <c r="AC38" s="11">
        <f t="shared" si="9"/>
        <v>0.15</v>
      </c>
      <c r="AD38" s="11">
        <f t="shared" si="9"/>
        <v>0.15</v>
      </c>
    </row>
    <row r="39" spans="1:30" ht="15.6" x14ac:dyDescent="0.3">
      <c r="A39" s="10">
        <v>0.6875</v>
      </c>
      <c r="B39" s="21">
        <v>0.15</v>
      </c>
      <c r="C39" s="21">
        <v>0.15</v>
      </c>
      <c r="D39" s="21">
        <v>0.15</v>
      </c>
      <c r="E39" s="21">
        <v>0.15</v>
      </c>
      <c r="F39" s="21">
        <v>0.15</v>
      </c>
      <c r="G39" s="21">
        <v>0.15</v>
      </c>
      <c r="H39" s="21">
        <v>0.15</v>
      </c>
      <c r="K39" s="10">
        <v>0.6875</v>
      </c>
      <c r="L39" s="11">
        <f t="shared" si="2"/>
        <v>0.99999999999999944</v>
      </c>
      <c r="M39" s="11">
        <f t="shared" si="3"/>
        <v>1.0000000000000004</v>
      </c>
      <c r="N39" s="11">
        <f t="shared" si="4"/>
        <v>1.0000000000000002</v>
      </c>
      <c r="O39" s="11">
        <f t="shared" si="5"/>
        <v>1.0000000000000002</v>
      </c>
      <c r="P39" s="11">
        <f t="shared" si="6"/>
        <v>0.99999999999999978</v>
      </c>
      <c r="Q39" s="11">
        <f t="shared" si="7"/>
        <v>0.99999999999999978</v>
      </c>
      <c r="R39" s="11">
        <f t="shared" si="8"/>
        <v>1.0000000000000004</v>
      </c>
      <c r="W39" s="10">
        <v>0.6875</v>
      </c>
      <c r="X39" s="11">
        <f t="shared" si="9"/>
        <v>0.14999999999999997</v>
      </c>
      <c r="Y39" s="11">
        <f t="shared" si="9"/>
        <v>0.15</v>
      </c>
      <c r="Z39" s="11">
        <f t="shared" si="9"/>
        <v>0.15</v>
      </c>
      <c r="AA39" s="11">
        <f t="shared" si="9"/>
        <v>0.15</v>
      </c>
      <c r="AB39" s="11">
        <f t="shared" si="9"/>
        <v>0.15</v>
      </c>
      <c r="AC39" s="11">
        <f t="shared" si="9"/>
        <v>0.15</v>
      </c>
      <c r="AD39" s="11">
        <f t="shared" si="9"/>
        <v>0.15</v>
      </c>
    </row>
    <row r="40" spans="1:30" ht="15.6" x14ac:dyDescent="0.3">
      <c r="A40" s="10">
        <v>0.69791666666666663</v>
      </c>
      <c r="B40" s="21">
        <v>0.15</v>
      </c>
      <c r="C40" s="21">
        <v>0.15</v>
      </c>
      <c r="D40" s="21">
        <v>0.15</v>
      </c>
      <c r="E40" s="21">
        <v>0.15</v>
      </c>
      <c r="F40" s="21">
        <v>0.15</v>
      </c>
      <c r="G40" s="21">
        <v>0.15</v>
      </c>
      <c r="H40" s="21">
        <v>0.15</v>
      </c>
      <c r="K40" s="10">
        <v>0.69791666666666663</v>
      </c>
      <c r="L40" s="11">
        <f t="shared" si="2"/>
        <v>0.99999999999999944</v>
      </c>
      <c r="M40" s="11">
        <f t="shared" si="3"/>
        <v>1.0000000000000004</v>
      </c>
      <c r="N40" s="11">
        <f t="shared" si="4"/>
        <v>1.0000000000000002</v>
      </c>
      <c r="O40" s="11">
        <f t="shared" si="5"/>
        <v>1.0000000000000002</v>
      </c>
      <c r="P40" s="11">
        <f t="shared" si="6"/>
        <v>0.99999999999999978</v>
      </c>
      <c r="Q40" s="11">
        <f t="shared" si="7"/>
        <v>0.99999999999999978</v>
      </c>
      <c r="R40" s="11">
        <f t="shared" si="8"/>
        <v>1.0000000000000004</v>
      </c>
      <c r="W40" s="10">
        <v>0.69791666666666663</v>
      </c>
      <c r="X40" s="11">
        <f t="shared" si="9"/>
        <v>0.14999999999999997</v>
      </c>
      <c r="Y40" s="11">
        <f t="shared" si="9"/>
        <v>0.15</v>
      </c>
      <c r="Z40" s="11">
        <f t="shared" si="9"/>
        <v>0.15</v>
      </c>
      <c r="AA40" s="11">
        <f t="shared" si="9"/>
        <v>0.15</v>
      </c>
      <c r="AB40" s="11">
        <f t="shared" si="9"/>
        <v>0.15</v>
      </c>
      <c r="AC40" s="11">
        <f t="shared" si="9"/>
        <v>0.15</v>
      </c>
      <c r="AD40" s="11">
        <f t="shared" si="9"/>
        <v>0.15</v>
      </c>
    </row>
    <row r="41" spans="1:30" ht="15.6" x14ac:dyDescent="0.3">
      <c r="A41" s="10">
        <v>0.70833333333333337</v>
      </c>
      <c r="B41" s="21">
        <v>0.15</v>
      </c>
      <c r="C41" s="21">
        <v>0.15</v>
      </c>
      <c r="D41" s="21">
        <v>0.15</v>
      </c>
      <c r="E41" s="21">
        <v>0.15</v>
      </c>
      <c r="F41" s="21">
        <v>0.15</v>
      </c>
      <c r="G41" s="21">
        <v>0.15</v>
      </c>
      <c r="H41" s="21">
        <v>0.15</v>
      </c>
      <c r="K41" s="10">
        <v>0.70833333333333337</v>
      </c>
      <c r="L41" s="11">
        <f t="shared" si="2"/>
        <v>0.99999999999999944</v>
      </c>
      <c r="M41" s="11">
        <f t="shared" si="3"/>
        <v>1.0000000000000004</v>
      </c>
      <c r="N41" s="11">
        <f t="shared" si="4"/>
        <v>1.0000000000000002</v>
      </c>
      <c r="O41" s="11">
        <f t="shared" si="5"/>
        <v>1.0000000000000002</v>
      </c>
      <c r="P41" s="11">
        <f t="shared" si="6"/>
        <v>0.99999999999999978</v>
      </c>
      <c r="Q41" s="11">
        <f t="shared" si="7"/>
        <v>0.99999999999999978</v>
      </c>
      <c r="R41" s="11">
        <f t="shared" si="8"/>
        <v>1.0000000000000004</v>
      </c>
      <c r="W41" s="10">
        <v>0.70833333333333337</v>
      </c>
      <c r="X41" s="11">
        <f t="shared" si="9"/>
        <v>0.14999999999999997</v>
      </c>
      <c r="Y41" s="11">
        <f t="shared" si="9"/>
        <v>0.15</v>
      </c>
      <c r="Z41" s="11">
        <f t="shared" si="9"/>
        <v>0.15</v>
      </c>
      <c r="AA41" s="11">
        <f t="shared" si="9"/>
        <v>0.15</v>
      </c>
      <c r="AB41" s="11">
        <f t="shared" si="9"/>
        <v>0.15</v>
      </c>
      <c r="AC41" s="11">
        <f t="shared" si="9"/>
        <v>0.15</v>
      </c>
      <c r="AD41" s="11">
        <f t="shared" si="9"/>
        <v>0.15</v>
      </c>
    </row>
    <row r="42" spans="1:30" ht="15.6" x14ac:dyDescent="0.3">
      <c r="A42" s="10">
        <v>0.71875</v>
      </c>
      <c r="B42" s="21">
        <v>0.15</v>
      </c>
      <c r="C42" s="21">
        <v>0.15</v>
      </c>
      <c r="D42" s="21">
        <v>0.15</v>
      </c>
      <c r="E42" s="21">
        <v>0.15</v>
      </c>
      <c r="F42" s="21">
        <v>0.15</v>
      </c>
      <c r="G42" s="21">
        <v>0.15</v>
      </c>
      <c r="H42" s="21">
        <v>0.15</v>
      </c>
      <c r="K42" s="10">
        <v>0.71875</v>
      </c>
      <c r="L42" s="11">
        <f t="shared" si="2"/>
        <v>0.99999999999999944</v>
      </c>
      <c r="M42" s="11">
        <f t="shared" si="3"/>
        <v>1.0000000000000004</v>
      </c>
      <c r="N42" s="11">
        <f t="shared" si="4"/>
        <v>1.0000000000000002</v>
      </c>
      <c r="O42" s="11">
        <f t="shared" si="5"/>
        <v>1.0000000000000002</v>
      </c>
      <c r="P42" s="11">
        <f t="shared" si="6"/>
        <v>0.99999999999999978</v>
      </c>
      <c r="Q42" s="11">
        <f t="shared" si="7"/>
        <v>0.99999999999999978</v>
      </c>
      <c r="R42" s="11">
        <f t="shared" si="8"/>
        <v>1.0000000000000004</v>
      </c>
      <c r="W42" s="10">
        <v>0.71875</v>
      </c>
      <c r="X42" s="11">
        <f t="shared" si="9"/>
        <v>0.14999999999999997</v>
      </c>
      <c r="Y42" s="11">
        <f t="shared" si="9"/>
        <v>0.15</v>
      </c>
      <c r="Z42" s="11">
        <f t="shared" si="9"/>
        <v>0.15</v>
      </c>
      <c r="AA42" s="11">
        <f t="shared" si="9"/>
        <v>0.15</v>
      </c>
      <c r="AB42" s="11">
        <f t="shared" si="9"/>
        <v>0.15</v>
      </c>
      <c r="AC42" s="11">
        <f t="shared" si="9"/>
        <v>0.15</v>
      </c>
      <c r="AD42" s="11">
        <f t="shared" si="9"/>
        <v>0.15</v>
      </c>
    </row>
    <row r="43" spans="1:30" ht="15.6" x14ac:dyDescent="0.3">
      <c r="A43" s="10">
        <v>0.72916666666666663</v>
      </c>
      <c r="B43" s="21">
        <v>0.15</v>
      </c>
      <c r="C43" s="21">
        <v>0.15</v>
      </c>
      <c r="D43" s="21">
        <v>0.15</v>
      </c>
      <c r="E43" s="21">
        <v>0.15</v>
      </c>
      <c r="F43" s="21">
        <v>0.15</v>
      </c>
      <c r="G43" s="21">
        <v>0.15</v>
      </c>
      <c r="H43" s="21">
        <v>0.15</v>
      </c>
      <c r="K43" s="10">
        <v>0.72916666666666663</v>
      </c>
      <c r="L43" s="11">
        <f t="shared" si="2"/>
        <v>0.99999999999999944</v>
      </c>
      <c r="M43" s="11">
        <f t="shared" si="3"/>
        <v>1.0000000000000004</v>
      </c>
      <c r="N43" s="11">
        <f t="shared" si="4"/>
        <v>1.0000000000000002</v>
      </c>
      <c r="O43" s="11">
        <f t="shared" si="5"/>
        <v>1.0000000000000002</v>
      </c>
      <c r="P43" s="11">
        <f t="shared" si="6"/>
        <v>0.99999999999999978</v>
      </c>
      <c r="Q43" s="11">
        <f t="shared" si="7"/>
        <v>0.99999999999999978</v>
      </c>
      <c r="R43" s="11">
        <f t="shared" si="8"/>
        <v>1.0000000000000004</v>
      </c>
      <c r="W43" s="10">
        <v>0.72916666666666663</v>
      </c>
      <c r="X43" s="11">
        <f t="shared" si="9"/>
        <v>0.14999999999999997</v>
      </c>
      <c r="Y43" s="11">
        <f t="shared" si="9"/>
        <v>0.15</v>
      </c>
      <c r="Z43" s="11">
        <f t="shared" si="9"/>
        <v>0.15</v>
      </c>
      <c r="AA43" s="11">
        <f t="shared" si="9"/>
        <v>0.15</v>
      </c>
      <c r="AB43" s="11">
        <f t="shared" si="9"/>
        <v>0.15</v>
      </c>
      <c r="AC43" s="11">
        <f t="shared" si="9"/>
        <v>0.15</v>
      </c>
      <c r="AD43" s="11">
        <f t="shared" si="9"/>
        <v>0.15</v>
      </c>
    </row>
    <row r="44" spans="1:30" ht="15.6" x14ac:dyDescent="0.3">
      <c r="A44" s="10">
        <v>0.73958333333333337</v>
      </c>
      <c r="B44" s="21">
        <v>0.15</v>
      </c>
      <c r="C44" s="21">
        <v>0.15</v>
      </c>
      <c r="D44" s="21">
        <v>0.15</v>
      </c>
      <c r="E44" s="21">
        <v>0.15</v>
      </c>
      <c r="F44" s="21">
        <v>0.15</v>
      </c>
      <c r="G44" s="21">
        <v>0.15</v>
      </c>
      <c r="H44" s="21">
        <v>0.15</v>
      </c>
      <c r="K44" s="10">
        <v>0.73958333333333337</v>
      </c>
      <c r="L44" s="11">
        <f t="shared" si="2"/>
        <v>0.99999999999999944</v>
      </c>
      <c r="M44" s="11">
        <f t="shared" si="3"/>
        <v>1.0000000000000004</v>
      </c>
      <c r="N44" s="11">
        <f t="shared" si="4"/>
        <v>1.0000000000000002</v>
      </c>
      <c r="O44" s="11">
        <f t="shared" si="5"/>
        <v>1.0000000000000002</v>
      </c>
      <c r="P44" s="11">
        <f t="shared" si="6"/>
        <v>0.99999999999999978</v>
      </c>
      <c r="Q44" s="11">
        <f t="shared" si="7"/>
        <v>0.99999999999999978</v>
      </c>
      <c r="R44" s="11">
        <f t="shared" si="8"/>
        <v>1.0000000000000004</v>
      </c>
      <c r="W44" s="10">
        <v>0.73958333333333337</v>
      </c>
      <c r="X44" s="11">
        <f t="shared" si="9"/>
        <v>0.14999999999999997</v>
      </c>
      <c r="Y44" s="11">
        <f t="shared" si="9"/>
        <v>0.15</v>
      </c>
      <c r="Z44" s="11">
        <f t="shared" si="9"/>
        <v>0.15</v>
      </c>
      <c r="AA44" s="11">
        <f t="shared" si="9"/>
        <v>0.15</v>
      </c>
      <c r="AB44" s="11">
        <f t="shared" si="9"/>
        <v>0.15</v>
      </c>
      <c r="AC44" s="11">
        <f t="shared" si="9"/>
        <v>0.15</v>
      </c>
      <c r="AD44" s="11">
        <f t="shared" si="9"/>
        <v>0.15</v>
      </c>
    </row>
    <row r="45" spans="1:30" ht="15.6" x14ac:dyDescent="0.3">
      <c r="A45" s="10">
        <v>0.75</v>
      </c>
      <c r="B45" s="21">
        <v>0.15</v>
      </c>
      <c r="C45" s="21">
        <v>0.15</v>
      </c>
      <c r="D45" s="21">
        <v>0.15</v>
      </c>
      <c r="E45" s="21">
        <v>0.15</v>
      </c>
      <c r="F45" s="21">
        <v>0.15</v>
      </c>
      <c r="G45" s="21">
        <v>0.15</v>
      </c>
      <c r="H45" s="21">
        <v>0.15</v>
      </c>
      <c r="K45" s="10">
        <v>0.75</v>
      </c>
      <c r="L45" s="11">
        <f t="shared" si="2"/>
        <v>0.99999999999999944</v>
      </c>
      <c r="M45" s="11">
        <f t="shared" si="3"/>
        <v>1.0000000000000004</v>
      </c>
      <c r="N45" s="11">
        <f t="shared" si="4"/>
        <v>1.0000000000000002</v>
      </c>
      <c r="O45" s="11">
        <f t="shared" si="5"/>
        <v>1.0000000000000002</v>
      </c>
      <c r="P45" s="11">
        <f t="shared" si="6"/>
        <v>0.99999999999999978</v>
      </c>
      <c r="Q45" s="11">
        <f t="shared" si="7"/>
        <v>0.99999999999999978</v>
      </c>
      <c r="R45" s="11">
        <f t="shared" si="8"/>
        <v>1.0000000000000004</v>
      </c>
      <c r="W45" s="10">
        <v>0.75</v>
      </c>
      <c r="X45" s="11">
        <f t="shared" si="9"/>
        <v>0.14999999999999997</v>
      </c>
      <c r="Y45" s="11">
        <f t="shared" si="9"/>
        <v>0.15</v>
      </c>
      <c r="Z45" s="11">
        <f t="shared" si="9"/>
        <v>0.15</v>
      </c>
      <c r="AA45" s="11">
        <f t="shared" si="9"/>
        <v>0.15</v>
      </c>
      <c r="AB45" s="11">
        <f t="shared" si="9"/>
        <v>0.15</v>
      </c>
      <c r="AC45" s="11">
        <f t="shared" si="9"/>
        <v>0.15</v>
      </c>
      <c r="AD45" s="11">
        <f t="shared" si="9"/>
        <v>0.15</v>
      </c>
    </row>
    <row r="46" spans="1:30" ht="15.6" x14ac:dyDescent="0.3">
      <c r="A46" s="10">
        <v>0.76041666666666663</v>
      </c>
      <c r="B46" s="21">
        <v>0.15</v>
      </c>
      <c r="C46" s="21">
        <v>0.15</v>
      </c>
      <c r="D46" s="21">
        <v>0.15</v>
      </c>
      <c r="E46" s="21">
        <v>0.15</v>
      </c>
      <c r="F46" s="21">
        <v>0.15</v>
      </c>
      <c r="G46" s="21">
        <v>0.15</v>
      </c>
      <c r="H46" s="21">
        <v>0.15</v>
      </c>
      <c r="K46" s="10">
        <v>0.76041666666666663</v>
      </c>
      <c r="L46" s="11">
        <f t="shared" si="2"/>
        <v>0.99999999999999944</v>
      </c>
      <c r="M46" s="11">
        <f t="shared" si="3"/>
        <v>1.0000000000000004</v>
      </c>
      <c r="N46" s="11">
        <f t="shared" si="4"/>
        <v>1.0000000000000002</v>
      </c>
      <c r="O46" s="11">
        <f t="shared" si="5"/>
        <v>1.0000000000000002</v>
      </c>
      <c r="P46" s="11">
        <f t="shared" si="6"/>
        <v>0.99999999999999978</v>
      </c>
      <c r="Q46" s="11">
        <f t="shared" si="7"/>
        <v>0.99999999999999978</v>
      </c>
      <c r="R46" s="11">
        <f t="shared" si="8"/>
        <v>1.0000000000000004</v>
      </c>
      <c r="W46" s="10">
        <v>0.76041666666666663</v>
      </c>
      <c r="X46" s="11">
        <f t="shared" si="9"/>
        <v>0.14999999999999997</v>
      </c>
      <c r="Y46" s="11">
        <f t="shared" si="9"/>
        <v>0.15</v>
      </c>
      <c r="Z46" s="11">
        <f t="shared" si="9"/>
        <v>0.15</v>
      </c>
      <c r="AA46" s="11">
        <f t="shared" si="9"/>
        <v>0.15</v>
      </c>
      <c r="AB46" s="11">
        <f t="shared" si="9"/>
        <v>0.15</v>
      </c>
      <c r="AC46" s="11">
        <f t="shared" si="9"/>
        <v>0.15</v>
      </c>
      <c r="AD46" s="11">
        <f t="shared" si="9"/>
        <v>0.15</v>
      </c>
    </row>
    <row r="47" spans="1:30" ht="15.6" x14ac:dyDescent="0.3">
      <c r="A47" s="10">
        <v>0.77083333333333337</v>
      </c>
      <c r="B47" s="21">
        <v>0.15</v>
      </c>
      <c r="C47" s="21">
        <v>0.15</v>
      </c>
      <c r="D47" s="21">
        <v>0.15</v>
      </c>
      <c r="E47" s="21">
        <v>0.15</v>
      </c>
      <c r="F47" s="21">
        <v>0.15</v>
      </c>
      <c r="G47" s="21">
        <v>0.15</v>
      </c>
      <c r="H47" s="21">
        <v>0.15</v>
      </c>
      <c r="K47" s="10">
        <v>0.77083333333333337</v>
      </c>
      <c r="L47" s="11">
        <f t="shared" si="2"/>
        <v>0.99999999999999944</v>
      </c>
      <c r="M47" s="11">
        <f t="shared" si="3"/>
        <v>1.0000000000000004</v>
      </c>
      <c r="N47" s="11">
        <f t="shared" si="4"/>
        <v>1.0000000000000002</v>
      </c>
      <c r="O47" s="11">
        <f t="shared" si="5"/>
        <v>1.0000000000000002</v>
      </c>
      <c r="P47" s="11">
        <f t="shared" si="6"/>
        <v>0.99999999999999978</v>
      </c>
      <c r="Q47" s="11">
        <f t="shared" si="7"/>
        <v>0.99999999999999978</v>
      </c>
      <c r="R47" s="11">
        <f t="shared" si="8"/>
        <v>1.0000000000000004</v>
      </c>
      <c r="W47" s="10">
        <v>0.77083333333333337</v>
      </c>
      <c r="X47" s="11">
        <f t="shared" si="9"/>
        <v>0.14999999999999997</v>
      </c>
      <c r="Y47" s="11">
        <f t="shared" si="9"/>
        <v>0.15</v>
      </c>
      <c r="Z47" s="11">
        <f t="shared" si="9"/>
        <v>0.15</v>
      </c>
      <c r="AA47" s="11">
        <f t="shared" si="9"/>
        <v>0.15</v>
      </c>
      <c r="AB47" s="11">
        <f t="shared" si="9"/>
        <v>0.15</v>
      </c>
      <c r="AC47" s="11">
        <f t="shared" si="9"/>
        <v>0.15</v>
      </c>
      <c r="AD47" s="11">
        <f t="shared" si="9"/>
        <v>0.15</v>
      </c>
    </row>
    <row r="48" spans="1:30" ht="15.6" x14ac:dyDescent="0.3">
      <c r="A48" s="10">
        <v>0.78125</v>
      </c>
      <c r="B48" s="21">
        <v>0.15</v>
      </c>
      <c r="C48" s="21">
        <v>0.15</v>
      </c>
      <c r="D48" s="21">
        <v>0.15</v>
      </c>
      <c r="E48" s="21">
        <v>0.15</v>
      </c>
      <c r="F48" s="21">
        <v>0.15</v>
      </c>
      <c r="G48" s="21">
        <v>0.15</v>
      </c>
      <c r="H48" s="21">
        <v>0.15</v>
      </c>
      <c r="K48" s="10">
        <v>0.78125</v>
      </c>
      <c r="L48" s="11">
        <f t="shared" si="2"/>
        <v>0.99999999999999944</v>
      </c>
      <c r="M48" s="11">
        <f t="shared" si="3"/>
        <v>1.0000000000000004</v>
      </c>
      <c r="N48" s="11">
        <f t="shared" si="4"/>
        <v>1.0000000000000002</v>
      </c>
      <c r="O48" s="11">
        <f t="shared" si="5"/>
        <v>1.0000000000000002</v>
      </c>
      <c r="P48" s="11">
        <f t="shared" si="6"/>
        <v>0.99999999999999978</v>
      </c>
      <c r="Q48" s="11">
        <f t="shared" si="7"/>
        <v>0.99999999999999978</v>
      </c>
      <c r="R48" s="11">
        <f t="shared" si="8"/>
        <v>1.0000000000000004</v>
      </c>
      <c r="W48" s="10">
        <v>0.78125</v>
      </c>
      <c r="X48" s="11">
        <f t="shared" si="9"/>
        <v>0.14999999999999997</v>
      </c>
      <c r="Y48" s="11">
        <f t="shared" si="9"/>
        <v>0.15</v>
      </c>
      <c r="Z48" s="11">
        <f t="shared" si="9"/>
        <v>0.15</v>
      </c>
      <c r="AA48" s="11">
        <f t="shared" si="9"/>
        <v>0.15</v>
      </c>
      <c r="AB48" s="11">
        <f t="shared" si="9"/>
        <v>0.15</v>
      </c>
      <c r="AC48" s="11">
        <f t="shared" si="9"/>
        <v>0.15</v>
      </c>
      <c r="AD48" s="11">
        <f t="shared" si="9"/>
        <v>0.15</v>
      </c>
    </row>
    <row r="49" spans="1:30" ht="15.6" x14ac:dyDescent="0.3">
      <c r="A49" s="10">
        <v>0.79166666666666663</v>
      </c>
      <c r="B49" s="21">
        <v>0.15</v>
      </c>
      <c r="C49" s="21">
        <v>0.15</v>
      </c>
      <c r="D49" s="21">
        <v>0.15</v>
      </c>
      <c r="E49" s="21">
        <v>0.15</v>
      </c>
      <c r="F49" s="21">
        <v>0.15</v>
      </c>
      <c r="G49" s="21">
        <v>0.15</v>
      </c>
      <c r="H49" s="21">
        <v>0.15</v>
      </c>
      <c r="K49" s="10">
        <v>0.79166666666666663</v>
      </c>
      <c r="L49" s="11">
        <f t="shared" si="2"/>
        <v>0.99999999999999944</v>
      </c>
      <c r="M49" s="11">
        <f t="shared" si="3"/>
        <v>1.0000000000000004</v>
      </c>
      <c r="N49" s="11">
        <f t="shared" si="4"/>
        <v>1.0000000000000002</v>
      </c>
      <c r="O49" s="11">
        <f t="shared" si="5"/>
        <v>1.0000000000000002</v>
      </c>
      <c r="P49" s="11">
        <f t="shared" si="6"/>
        <v>0.99999999999999978</v>
      </c>
      <c r="Q49" s="11">
        <f t="shared" si="7"/>
        <v>0.99999999999999978</v>
      </c>
      <c r="R49" s="11">
        <f t="shared" si="8"/>
        <v>1.0000000000000004</v>
      </c>
      <c r="W49" s="10">
        <v>0.79166666666666663</v>
      </c>
      <c r="X49" s="11">
        <f t="shared" si="9"/>
        <v>0.14999999999999997</v>
      </c>
      <c r="Y49" s="11">
        <f t="shared" si="9"/>
        <v>0.15</v>
      </c>
      <c r="Z49" s="11">
        <f t="shared" si="9"/>
        <v>0.15</v>
      </c>
      <c r="AA49" s="11">
        <f t="shared" si="9"/>
        <v>0.15</v>
      </c>
      <c r="AB49" s="11">
        <f t="shared" si="9"/>
        <v>0.15</v>
      </c>
      <c r="AC49" s="11">
        <f t="shared" si="9"/>
        <v>0.15</v>
      </c>
      <c r="AD49" s="11">
        <f t="shared" si="9"/>
        <v>0.15</v>
      </c>
    </row>
    <row r="50" spans="1:30" ht="15.6" x14ac:dyDescent="0.3">
      <c r="A50" s="10">
        <v>0.80208333333333337</v>
      </c>
      <c r="B50" s="21">
        <v>0.15</v>
      </c>
      <c r="C50" s="21">
        <v>0.15</v>
      </c>
      <c r="D50" s="21">
        <v>0.15</v>
      </c>
      <c r="E50" s="21">
        <v>0.15</v>
      </c>
      <c r="F50" s="21">
        <v>0.15</v>
      </c>
      <c r="G50" s="21">
        <v>0.15</v>
      </c>
      <c r="H50" s="21">
        <v>0.15</v>
      </c>
      <c r="K50" s="10">
        <v>0.80208333333333337</v>
      </c>
      <c r="L50" s="11">
        <f t="shared" si="2"/>
        <v>0.99999999999999944</v>
      </c>
      <c r="M50" s="11">
        <f t="shared" si="3"/>
        <v>1.0000000000000004</v>
      </c>
      <c r="N50" s="11">
        <f t="shared" si="4"/>
        <v>1.0000000000000002</v>
      </c>
      <c r="O50" s="11">
        <f t="shared" si="5"/>
        <v>1.0000000000000002</v>
      </c>
      <c r="P50" s="11">
        <f t="shared" si="6"/>
        <v>0.99999999999999978</v>
      </c>
      <c r="Q50" s="11">
        <f t="shared" si="7"/>
        <v>0.99999999999999978</v>
      </c>
      <c r="R50" s="11">
        <f t="shared" si="8"/>
        <v>1.0000000000000004</v>
      </c>
      <c r="W50" s="10">
        <v>0.80208333333333337</v>
      </c>
      <c r="X50" s="11">
        <f t="shared" si="9"/>
        <v>0.14999999999999997</v>
      </c>
      <c r="Y50" s="11">
        <f t="shared" si="9"/>
        <v>0.15</v>
      </c>
      <c r="Z50" s="11">
        <f t="shared" si="9"/>
        <v>0.15</v>
      </c>
      <c r="AA50" s="11">
        <f t="shared" si="9"/>
        <v>0.15</v>
      </c>
      <c r="AB50" s="11">
        <f t="shared" si="9"/>
        <v>0.15</v>
      </c>
      <c r="AC50" s="11">
        <f t="shared" si="9"/>
        <v>0.15</v>
      </c>
      <c r="AD50" s="11">
        <f t="shared" si="9"/>
        <v>0.15</v>
      </c>
    </row>
    <row r="51" spans="1:30" ht="15.6" x14ac:dyDescent="0.3">
      <c r="A51" s="10">
        <v>0.8125</v>
      </c>
      <c r="B51" s="21">
        <v>0.15</v>
      </c>
      <c r="C51" s="21">
        <v>0.15</v>
      </c>
      <c r="D51" s="21">
        <v>0.15</v>
      </c>
      <c r="E51" s="21">
        <v>0.15</v>
      </c>
      <c r="F51" s="21">
        <v>0.15</v>
      </c>
      <c r="G51" s="21">
        <v>0.15</v>
      </c>
      <c r="H51" s="21">
        <v>0.15</v>
      </c>
      <c r="K51" s="10">
        <v>0.8125</v>
      </c>
      <c r="L51" s="11">
        <f t="shared" si="2"/>
        <v>0.99999999999999944</v>
      </c>
      <c r="M51" s="11">
        <f t="shared" si="3"/>
        <v>1.0000000000000004</v>
      </c>
      <c r="N51" s="11">
        <f t="shared" si="4"/>
        <v>1.0000000000000002</v>
      </c>
      <c r="O51" s="11">
        <f t="shared" si="5"/>
        <v>1.0000000000000002</v>
      </c>
      <c r="P51" s="11">
        <f t="shared" si="6"/>
        <v>0.99999999999999978</v>
      </c>
      <c r="Q51" s="11">
        <f t="shared" si="7"/>
        <v>0.99999999999999978</v>
      </c>
      <c r="R51" s="11">
        <f t="shared" si="8"/>
        <v>1.0000000000000004</v>
      </c>
      <c r="W51" s="10">
        <v>0.8125</v>
      </c>
      <c r="X51" s="11">
        <f t="shared" si="9"/>
        <v>0.14999999999999997</v>
      </c>
      <c r="Y51" s="11">
        <f t="shared" si="9"/>
        <v>0.15</v>
      </c>
      <c r="Z51" s="11">
        <f t="shared" si="9"/>
        <v>0.15</v>
      </c>
      <c r="AA51" s="11">
        <f t="shared" si="9"/>
        <v>0.15</v>
      </c>
      <c r="AB51" s="11">
        <f t="shared" si="9"/>
        <v>0.15</v>
      </c>
      <c r="AC51" s="11">
        <f t="shared" si="9"/>
        <v>0.15</v>
      </c>
      <c r="AD51" s="11">
        <f t="shared" si="9"/>
        <v>0.15</v>
      </c>
    </row>
    <row r="52" spans="1:30" ht="15.6" x14ac:dyDescent="0.3">
      <c r="A52" s="10">
        <v>0.82291666666666663</v>
      </c>
      <c r="B52" s="21">
        <v>0.15</v>
      </c>
      <c r="C52" s="21">
        <v>0.15</v>
      </c>
      <c r="D52" s="21">
        <v>0.15</v>
      </c>
      <c r="E52" s="21">
        <v>0.15</v>
      </c>
      <c r="F52" s="21">
        <v>0.15</v>
      </c>
      <c r="G52" s="21">
        <v>0.15</v>
      </c>
      <c r="H52" s="21">
        <v>0.15</v>
      </c>
      <c r="K52" s="10">
        <v>0.82291666666666663</v>
      </c>
      <c r="L52" s="11">
        <f t="shared" si="2"/>
        <v>0.99999999999999944</v>
      </c>
      <c r="M52" s="11">
        <f t="shared" si="3"/>
        <v>1.0000000000000004</v>
      </c>
      <c r="N52" s="11">
        <f t="shared" si="4"/>
        <v>1.0000000000000002</v>
      </c>
      <c r="O52" s="11">
        <f t="shared" si="5"/>
        <v>1.0000000000000002</v>
      </c>
      <c r="P52" s="11">
        <f t="shared" si="6"/>
        <v>0.99999999999999978</v>
      </c>
      <c r="Q52" s="11">
        <f t="shared" si="7"/>
        <v>0.99999999999999978</v>
      </c>
      <c r="R52" s="11">
        <f t="shared" si="8"/>
        <v>1.0000000000000004</v>
      </c>
      <c r="W52" s="10">
        <v>0.82291666666666663</v>
      </c>
      <c r="X52" s="11">
        <f t="shared" si="9"/>
        <v>0.14999999999999997</v>
      </c>
      <c r="Y52" s="11">
        <f t="shared" si="9"/>
        <v>0.15</v>
      </c>
      <c r="Z52" s="11">
        <f t="shared" si="9"/>
        <v>0.15</v>
      </c>
      <c r="AA52" s="11">
        <f t="shared" si="9"/>
        <v>0.15</v>
      </c>
      <c r="AB52" s="11">
        <f t="shared" si="9"/>
        <v>0.15</v>
      </c>
      <c r="AC52" s="11">
        <f t="shared" si="9"/>
        <v>0.15</v>
      </c>
      <c r="AD52" s="11">
        <f t="shared" si="9"/>
        <v>0.15</v>
      </c>
    </row>
    <row r="53" spans="1:30" ht="15.6" x14ac:dyDescent="0.3">
      <c r="A53" s="10">
        <v>0.83333333333333337</v>
      </c>
      <c r="B53" s="21">
        <v>0.15</v>
      </c>
      <c r="C53" s="21">
        <v>0.15</v>
      </c>
      <c r="D53" s="21">
        <v>0.15</v>
      </c>
      <c r="E53" s="21">
        <v>0.15</v>
      </c>
      <c r="F53" s="21">
        <v>0.15</v>
      </c>
      <c r="G53" s="21">
        <v>0.15</v>
      </c>
      <c r="H53" s="21">
        <v>0.15</v>
      </c>
      <c r="K53" s="10">
        <v>0.83333333333333337</v>
      </c>
      <c r="L53" s="11">
        <f t="shared" si="2"/>
        <v>0.99999999999999944</v>
      </c>
      <c r="M53" s="11">
        <f t="shared" si="3"/>
        <v>1.0000000000000004</v>
      </c>
      <c r="N53" s="11">
        <f t="shared" si="4"/>
        <v>1.0000000000000002</v>
      </c>
      <c r="O53" s="11">
        <f t="shared" si="5"/>
        <v>1.0000000000000002</v>
      </c>
      <c r="P53" s="11">
        <f t="shared" si="6"/>
        <v>0.99999999999999978</v>
      </c>
      <c r="Q53" s="11">
        <f t="shared" si="7"/>
        <v>0.99999999999999978</v>
      </c>
      <c r="R53" s="11">
        <f t="shared" si="8"/>
        <v>1.0000000000000004</v>
      </c>
      <c r="W53" s="10">
        <v>0.83333333333333337</v>
      </c>
      <c r="X53" s="11">
        <f t="shared" si="9"/>
        <v>0.14999999999999997</v>
      </c>
      <c r="Y53" s="11">
        <f t="shared" ref="Y53:AD65" si="10">M53*Y$66</f>
        <v>0.15</v>
      </c>
      <c r="Z53" s="11">
        <f t="shared" si="10"/>
        <v>0.15</v>
      </c>
      <c r="AA53" s="11">
        <f t="shared" si="10"/>
        <v>0.15</v>
      </c>
      <c r="AB53" s="11">
        <f t="shared" si="10"/>
        <v>0.15</v>
      </c>
      <c r="AC53" s="11">
        <f t="shared" si="10"/>
        <v>0.15</v>
      </c>
      <c r="AD53" s="11">
        <f t="shared" si="10"/>
        <v>0.15</v>
      </c>
    </row>
    <row r="54" spans="1:30" ht="15.6" x14ac:dyDescent="0.3">
      <c r="A54" s="10">
        <v>0.84375</v>
      </c>
      <c r="B54" s="21">
        <v>0.15</v>
      </c>
      <c r="C54" s="21">
        <v>0.15</v>
      </c>
      <c r="D54" s="21">
        <v>0.15</v>
      </c>
      <c r="E54" s="21">
        <v>0.15</v>
      </c>
      <c r="F54" s="21">
        <v>0.15</v>
      </c>
      <c r="G54" s="21">
        <v>0.15</v>
      </c>
      <c r="H54" s="21">
        <v>0.15</v>
      </c>
      <c r="K54" s="10">
        <v>0.84375</v>
      </c>
      <c r="L54" s="11">
        <f t="shared" si="2"/>
        <v>0.99999999999999944</v>
      </c>
      <c r="M54" s="11">
        <f t="shared" si="3"/>
        <v>1.0000000000000004</v>
      </c>
      <c r="N54" s="11">
        <f t="shared" si="4"/>
        <v>1.0000000000000002</v>
      </c>
      <c r="O54" s="11">
        <f t="shared" si="5"/>
        <v>1.0000000000000002</v>
      </c>
      <c r="P54" s="11">
        <f t="shared" si="6"/>
        <v>0.99999999999999978</v>
      </c>
      <c r="Q54" s="11">
        <f t="shared" si="7"/>
        <v>0.99999999999999978</v>
      </c>
      <c r="R54" s="11">
        <f t="shared" si="8"/>
        <v>1.0000000000000004</v>
      </c>
      <c r="W54" s="10">
        <v>0.84375</v>
      </c>
      <c r="X54" s="11">
        <f t="shared" ref="X54:X65" si="11">L54*X$66</f>
        <v>0.14999999999999997</v>
      </c>
      <c r="Y54" s="11">
        <f t="shared" si="10"/>
        <v>0.15</v>
      </c>
      <c r="Z54" s="11">
        <f t="shared" si="10"/>
        <v>0.15</v>
      </c>
      <c r="AA54" s="11">
        <f t="shared" si="10"/>
        <v>0.15</v>
      </c>
      <c r="AB54" s="11">
        <f t="shared" si="10"/>
        <v>0.15</v>
      </c>
      <c r="AC54" s="11">
        <f t="shared" si="10"/>
        <v>0.15</v>
      </c>
      <c r="AD54" s="11">
        <f t="shared" si="10"/>
        <v>0.15</v>
      </c>
    </row>
    <row r="55" spans="1:30" ht="15.6" x14ac:dyDescent="0.3">
      <c r="A55" s="10">
        <v>0.85416666666666663</v>
      </c>
      <c r="B55" s="21">
        <v>0.15</v>
      </c>
      <c r="C55" s="21">
        <v>0.15</v>
      </c>
      <c r="D55" s="21">
        <v>0.15</v>
      </c>
      <c r="E55" s="21">
        <v>0.15</v>
      </c>
      <c r="F55" s="21">
        <v>0.15</v>
      </c>
      <c r="G55" s="21">
        <v>0.15</v>
      </c>
      <c r="H55" s="21">
        <v>0.15</v>
      </c>
      <c r="K55" s="10">
        <v>0.85416666666666663</v>
      </c>
      <c r="L55" s="11">
        <f t="shared" si="2"/>
        <v>0.99999999999999944</v>
      </c>
      <c r="M55" s="11">
        <f t="shared" si="3"/>
        <v>1.0000000000000004</v>
      </c>
      <c r="N55" s="11">
        <f t="shared" si="4"/>
        <v>1.0000000000000002</v>
      </c>
      <c r="O55" s="11">
        <f t="shared" si="5"/>
        <v>1.0000000000000002</v>
      </c>
      <c r="P55" s="11">
        <f t="shared" si="6"/>
        <v>0.99999999999999978</v>
      </c>
      <c r="Q55" s="11">
        <f t="shared" si="7"/>
        <v>0.99999999999999978</v>
      </c>
      <c r="R55" s="11">
        <f t="shared" si="8"/>
        <v>1.0000000000000004</v>
      </c>
      <c r="W55" s="10">
        <v>0.85416666666666663</v>
      </c>
      <c r="X55" s="11">
        <f t="shared" si="11"/>
        <v>0.14999999999999997</v>
      </c>
      <c r="Y55" s="11">
        <f t="shared" si="10"/>
        <v>0.15</v>
      </c>
      <c r="Z55" s="11">
        <f t="shared" si="10"/>
        <v>0.15</v>
      </c>
      <c r="AA55" s="11">
        <f t="shared" si="10"/>
        <v>0.15</v>
      </c>
      <c r="AB55" s="11">
        <f t="shared" si="10"/>
        <v>0.15</v>
      </c>
      <c r="AC55" s="11">
        <f t="shared" si="10"/>
        <v>0.15</v>
      </c>
      <c r="AD55" s="11">
        <f t="shared" si="10"/>
        <v>0.15</v>
      </c>
    </row>
    <row r="56" spans="1:30" ht="15.6" x14ac:dyDescent="0.3">
      <c r="A56" s="10">
        <v>0.86458333333333337</v>
      </c>
      <c r="B56" s="21">
        <v>0.15</v>
      </c>
      <c r="C56" s="21">
        <v>0.15</v>
      </c>
      <c r="D56" s="21">
        <v>0.15</v>
      </c>
      <c r="E56" s="21">
        <v>0.15</v>
      </c>
      <c r="F56" s="21">
        <v>0.15</v>
      </c>
      <c r="G56" s="21">
        <v>0.15</v>
      </c>
      <c r="H56" s="21">
        <v>0.15</v>
      </c>
      <c r="K56" s="10">
        <v>0.86458333333333337</v>
      </c>
      <c r="L56" s="11">
        <f t="shared" si="2"/>
        <v>0.99999999999999944</v>
      </c>
      <c r="M56" s="11">
        <f t="shared" si="3"/>
        <v>1.0000000000000004</v>
      </c>
      <c r="N56" s="11">
        <f t="shared" si="4"/>
        <v>1.0000000000000002</v>
      </c>
      <c r="O56" s="11">
        <f t="shared" si="5"/>
        <v>1.0000000000000002</v>
      </c>
      <c r="P56" s="11">
        <f t="shared" si="6"/>
        <v>0.99999999999999978</v>
      </c>
      <c r="Q56" s="11">
        <f t="shared" si="7"/>
        <v>0.99999999999999978</v>
      </c>
      <c r="R56" s="11">
        <f t="shared" si="8"/>
        <v>1.0000000000000004</v>
      </c>
      <c r="W56" s="10">
        <v>0.86458333333333337</v>
      </c>
      <c r="X56" s="11">
        <f t="shared" si="11"/>
        <v>0.14999999999999997</v>
      </c>
      <c r="Y56" s="11">
        <f t="shared" si="10"/>
        <v>0.15</v>
      </c>
      <c r="Z56" s="11">
        <f t="shared" si="10"/>
        <v>0.15</v>
      </c>
      <c r="AA56" s="11">
        <f t="shared" si="10"/>
        <v>0.15</v>
      </c>
      <c r="AB56" s="11">
        <f t="shared" si="10"/>
        <v>0.15</v>
      </c>
      <c r="AC56" s="11">
        <f t="shared" si="10"/>
        <v>0.15</v>
      </c>
      <c r="AD56" s="11">
        <f t="shared" si="10"/>
        <v>0.15</v>
      </c>
    </row>
    <row r="57" spans="1:30" ht="15.6" x14ac:dyDescent="0.3">
      <c r="A57" s="10">
        <v>0.875</v>
      </c>
      <c r="B57" s="21">
        <v>0.15</v>
      </c>
      <c r="C57" s="21">
        <v>0.15</v>
      </c>
      <c r="D57" s="21">
        <v>0.15</v>
      </c>
      <c r="E57" s="21">
        <v>0.15</v>
      </c>
      <c r="F57" s="21">
        <v>0.15</v>
      </c>
      <c r="G57" s="21">
        <v>0.15</v>
      </c>
      <c r="H57" s="21">
        <v>0.15</v>
      </c>
      <c r="K57" s="10">
        <v>0.875</v>
      </c>
      <c r="L57" s="11">
        <f t="shared" si="2"/>
        <v>0.99999999999999944</v>
      </c>
      <c r="M57" s="11">
        <f t="shared" si="3"/>
        <v>1.0000000000000004</v>
      </c>
      <c r="N57" s="11">
        <f t="shared" si="4"/>
        <v>1.0000000000000002</v>
      </c>
      <c r="O57" s="11">
        <f t="shared" si="5"/>
        <v>1.0000000000000002</v>
      </c>
      <c r="P57" s="11">
        <f t="shared" si="6"/>
        <v>0.99999999999999978</v>
      </c>
      <c r="Q57" s="11">
        <f t="shared" si="7"/>
        <v>0.99999999999999978</v>
      </c>
      <c r="R57" s="11">
        <f t="shared" si="8"/>
        <v>1.0000000000000004</v>
      </c>
      <c r="W57" s="10">
        <v>0.875</v>
      </c>
      <c r="X57" s="11">
        <f t="shared" si="11"/>
        <v>0.14999999999999997</v>
      </c>
      <c r="Y57" s="11">
        <f t="shared" si="10"/>
        <v>0.15</v>
      </c>
      <c r="Z57" s="11">
        <f t="shared" si="10"/>
        <v>0.15</v>
      </c>
      <c r="AA57" s="11">
        <f t="shared" si="10"/>
        <v>0.15</v>
      </c>
      <c r="AB57" s="11">
        <f t="shared" si="10"/>
        <v>0.15</v>
      </c>
      <c r="AC57" s="11">
        <f t="shared" si="10"/>
        <v>0.15</v>
      </c>
      <c r="AD57" s="11">
        <f t="shared" si="10"/>
        <v>0.15</v>
      </c>
    </row>
    <row r="58" spans="1:30" ht="15.6" x14ac:dyDescent="0.3">
      <c r="A58" s="10">
        <v>0.88541666666666663</v>
      </c>
      <c r="B58" s="21">
        <v>0.15</v>
      </c>
      <c r="C58" s="21">
        <v>0.15</v>
      </c>
      <c r="D58" s="21">
        <v>0.15</v>
      </c>
      <c r="E58" s="21">
        <v>0.15</v>
      </c>
      <c r="F58" s="21">
        <v>0.15</v>
      </c>
      <c r="G58" s="21">
        <v>0.15</v>
      </c>
      <c r="H58" s="21">
        <v>0.15</v>
      </c>
      <c r="K58" s="10">
        <v>0.88541666666666663</v>
      </c>
      <c r="L58" s="11">
        <f t="shared" si="2"/>
        <v>0.99999999999999944</v>
      </c>
      <c r="M58" s="11">
        <f t="shared" si="3"/>
        <v>1.0000000000000004</v>
      </c>
      <c r="N58" s="11">
        <f t="shared" si="4"/>
        <v>1.0000000000000002</v>
      </c>
      <c r="O58" s="11">
        <f t="shared" si="5"/>
        <v>1.0000000000000002</v>
      </c>
      <c r="P58" s="11">
        <f t="shared" si="6"/>
        <v>0.99999999999999978</v>
      </c>
      <c r="Q58" s="11">
        <f t="shared" si="7"/>
        <v>0.99999999999999978</v>
      </c>
      <c r="R58" s="11">
        <f t="shared" si="8"/>
        <v>1.0000000000000004</v>
      </c>
      <c r="W58" s="10">
        <v>0.88541666666666663</v>
      </c>
      <c r="X58" s="11">
        <f t="shared" si="11"/>
        <v>0.14999999999999997</v>
      </c>
      <c r="Y58" s="11">
        <f t="shared" si="10"/>
        <v>0.15</v>
      </c>
      <c r="Z58" s="11">
        <f t="shared" si="10"/>
        <v>0.15</v>
      </c>
      <c r="AA58" s="11">
        <f t="shared" si="10"/>
        <v>0.15</v>
      </c>
      <c r="AB58" s="11">
        <f t="shared" si="10"/>
        <v>0.15</v>
      </c>
      <c r="AC58" s="11">
        <f t="shared" si="10"/>
        <v>0.15</v>
      </c>
      <c r="AD58" s="11">
        <f t="shared" si="10"/>
        <v>0.15</v>
      </c>
    </row>
    <row r="59" spans="1:30" ht="15.6" x14ac:dyDescent="0.3">
      <c r="A59" s="10">
        <v>0.89583333333333337</v>
      </c>
      <c r="B59" s="21">
        <v>0.15</v>
      </c>
      <c r="C59" s="21">
        <v>0.15</v>
      </c>
      <c r="D59" s="21">
        <v>0.15</v>
      </c>
      <c r="E59" s="21">
        <v>0.15</v>
      </c>
      <c r="F59" s="21">
        <v>0.15</v>
      </c>
      <c r="G59" s="21">
        <v>0.15</v>
      </c>
      <c r="H59" s="21">
        <v>0.15</v>
      </c>
      <c r="K59" s="10">
        <v>0.89583333333333337</v>
      </c>
      <c r="L59" s="11">
        <f t="shared" si="2"/>
        <v>0.99999999999999944</v>
      </c>
      <c r="M59" s="11">
        <f t="shared" si="3"/>
        <v>1.0000000000000004</v>
      </c>
      <c r="N59" s="11">
        <f t="shared" si="4"/>
        <v>1.0000000000000002</v>
      </c>
      <c r="O59" s="11">
        <f t="shared" si="5"/>
        <v>1.0000000000000002</v>
      </c>
      <c r="P59" s="11">
        <f t="shared" si="6"/>
        <v>0.99999999999999978</v>
      </c>
      <c r="Q59" s="11">
        <f t="shared" si="7"/>
        <v>0.99999999999999978</v>
      </c>
      <c r="R59" s="11">
        <f t="shared" si="8"/>
        <v>1.0000000000000004</v>
      </c>
      <c r="W59" s="10">
        <v>0.89583333333333337</v>
      </c>
      <c r="X59" s="11">
        <f t="shared" si="11"/>
        <v>0.14999999999999997</v>
      </c>
      <c r="Y59" s="11">
        <f t="shared" si="10"/>
        <v>0.15</v>
      </c>
      <c r="Z59" s="11">
        <f t="shared" si="10"/>
        <v>0.15</v>
      </c>
      <c r="AA59" s="11">
        <f t="shared" si="10"/>
        <v>0.15</v>
      </c>
      <c r="AB59" s="11">
        <f t="shared" si="10"/>
        <v>0.15</v>
      </c>
      <c r="AC59" s="11">
        <f t="shared" si="10"/>
        <v>0.15</v>
      </c>
      <c r="AD59" s="11">
        <f t="shared" si="10"/>
        <v>0.15</v>
      </c>
    </row>
    <row r="60" spans="1:30" ht="15.6" x14ac:dyDescent="0.3">
      <c r="A60" s="10">
        <v>0.90625</v>
      </c>
      <c r="B60" s="21">
        <v>0.15</v>
      </c>
      <c r="C60" s="21">
        <v>0.15</v>
      </c>
      <c r="D60" s="21">
        <v>0.15</v>
      </c>
      <c r="E60" s="21">
        <v>0.15</v>
      </c>
      <c r="F60" s="21">
        <v>0.15</v>
      </c>
      <c r="G60" s="21">
        <v>0.15</v>
      </c>
      <c r="H60" s="21">
        <v>0.15</v>
      </c>
      <c r="K60" s="10">
        <v>0.90625</v>
      </c>
      <c r="L60" s="11">
        <f t="shared" si="2"/>
        <v>0.99999999999999944</v>
      </c>
      <c r="M60" s="11">
        <f t="shared" si="3"/>
        <v>1.0000000000000004</v>
      </c>
      <c r="N60" s="11">
        <f t="shared" si="4"/>
        <v>1.0000000000000002</v>
      </c>
      <c r="O60" s="11">
        <f t="shared" si="5"/>
        <v>1.0000000000000002</v>
      </c>
      <c r="P60" s="11">
        <f t="shared" si="6"/>
        <v>0.99999999999999978</v>
      </c>
      <c r="Q60" s="11">
        <f t="shared" si="7"/>
        <v>0.99999999999999978</v>
      </c>
      <c r="R60" s="11">
        <f t="shared" si="8"/>
        <v>1.0000000000000004</v>
      </c>
      <c r="W60" s="10">
        <v>0.90625</v>
      </c>
      <c r="X60" s="11">
        <f t="shared" si="11"/>
        <v>0.14999999999999997</v>
      </c>
      <c r="Y60" s="11">
        <f t="shared" si="10"/>
        <v>0.15</v>
      </c>
      <c r="Z60" s="11">
        <f t="shared" si="10"/>
        <v>0.15</v>
      </c>
      <c r="AA60" s="11">
        <f t="shared" si="10"/>
        <v>0.15</v>
      </c>
      <c r="AB60" s="11">
        <f t="shared" si="10"/>
        <v>0.15</v>
      </c>
      <c r="AC60" s="11">
        <f t="shared" si="10"/>
        <v>0.15</v>
      </c>
      <c r="AD60" s="11">
        <f t="shared" si="10"/>
        <v>0.15</v>
      </c>
    </row>
    <row r="61" spans="1:30" ht="15.6" x14ac:dyDescent="0.3">
      <c r="A61" s="10">
        <v>0.91666666666666663</v>
      </c>
      <c r="B61" s="21">
        <v>0.15</v>
      </c>
      <c r="C61" s="21">
        <v>0.15</v>
      </c>
      <c r="D61" s="21">
        <v>0.15</v>
      </c>
      <c r="E61" s="21">
        <v>0.15</v>
      </c>
      <c r="F61" s="21">
        <v>0.15</v>
      </c>
      <c r="G61" s="21">
        <v>0.15</v>
      </c>
      <c r="H61" s="21">
        <v>0.15</v>
      </c>
      <c r="K61" s="10">
        <v>0.91666666666666663</v>
      </c>
      <c r="L61" s="11">
        <f t="shared" si="2"/>
        <v>0.99999999999999944</v>
      </c>
      <c r="M61" s="11">
        <f t="shared" si="3"/>
        <v>1.0000000000000004</v>
      </c>
      <c r="N61" s="11">
        <f t="shared" si="4"/>
        <v>1.0000000000000002</v>
      </c>
      <c r="O61" s="11">
        <f t="shared" si="5"/>
        <v>1.0000000000000002</v>
      </c>
      <c r="P61" s="11">
        <f t="shared" si="6"/>
        <v>0.99999999999999978</v>
      </c>
      <c r="Q61" s="11">
        <f t="shared" si="7"/>
        <v>0.99999999999999978</v>
      </c>
      <c r="R61" s="11">
        <f t="shared" si="8"/>
        <v>1.0000000000000004</v>
      </c>
      <c r="W61" s="10">
        <v>0.91666666666666663</v>
      </c>
      <c r="X61" s="11">
        <f t="shared" si="11"/>
        <v>0.14999999999999997</v>
      </c>
      <c r="Y61" s="11">
        <f t="shared" si="10"/>
        <v>0.15</v>
      </c>
      <c r="Z61" s="11">
        <f t="shared" si="10"/>
        <v>0.15</v>
      </c>
      <c r="AA61" s="11">
        <f t="shared" si="10"/>
        <v>0.15</v>
      </c>
      <c r="AB61" s="11">
        <f t="shared" si="10"/>
        <v>0.15</v>
      </c>
      <c r="AC61" s="11">
        <f t="shared" si="10"/>
        <v>0.15</v>
      </c>
      <c r="AD61" s="11">
        <f t="shared" si="10"/>
        <v>0.15</v>
      </c>
    </row>
    <row r="62" spans="1:30" ht="15.6" x14ac:dyDescent="0.3">
      <c r="A62" s="10">
        <v>0.92708333333333337</v>
      </c>
      <c r="B62" s="21">
        <v>0.15</v>
      </c>
      <c r="C62" s="21">
        <v>0.15</v>
      </c>
      <c r="D62" s="21">
        <v>0.15</v>
      </c>
      <c r="E62" s="21">
        <v>0.15</v>
      </c>
      <c r="F62" s="21">
        <v>0.15</v>
      </c>
      <c r="G62" s="21">
        <v>0.15</v>
      </c>
      <c r="H62" s="21">
        <v>0.15</v>
      </c>
      <c r="K62" s="10">
        <v>0.92708333333333337</v>
      </c>
      <c r="L62" s="11">
        <f t="shared" si="2"/>
        <v>0.99999999999999944</v>
      </c>
      <c r="M62" s="11">
        <f t="shared" si="3"/>
        <v>1.0000000000000004</v>
      </c>
      <c r="N62" s="11">
        <f t="shared" si="4"/>
        <v>1.0000000000000002</v>
      </c>
      <c r="O62" s="11">
        <f t="shared" si="5"/>
        <v>1.0000000000000002</v>
      </c>
      <c r="P62" s="11">
        <f t="shared" si="6"/>
        <v>0.99999999999999978</v>
      </c>
      <c r="Q62" s="11">
        <f t="shared" si="7"/>
        <v>0.99999999999999978</v>
      </c>
      <c r="R62" s="11">
        <f t="shared" si="8"/>
        <v>1.0000000000000004</v>
      </c>
      <c r="W62" s="10">
        <v>0.92708333333333337</v>
      </c>
      <c r="X62" s="11">
        <f t="shared" si="11"/>
        <v>0.14999999999999997</v>
      </c>
      <c r="Y62" s="11">
        <f t="shared" si="10"/>
        <v>0.15</v>
      </c>
      <c r="Z62" s="11">
        <f t="shared" si="10"/>
        <v>0.15</v>
      </c>
      <c r="AA62" s="11">
        <f t="shared" si="10"/>
        <v>0.15</v>
      </c>
      <c r="AB62" s="11">
        <f t="shared" si="10"/>
        <v>0.15</v>
      </c>
      <c r="AC62" s="11">
        <f t="shared" si="10"/>
        <v>0.15</v>
      </c>
      <c r="AD62" s="11">
        <f t="shared" si="10"/>
        <v>0.15</v>
      </c>
    </row>
    <row r="63" spans="1:30" ht="15.6" x14ac:dyDescent="0.3">
      <c r="A63" s="10">
        <v>0.9375</v>
      </c>
      <c r="B63" s="21">
        <v>0.15</v>
      </c>
      <c r="C63" s="21">
        <v>0.15</v>
      </c>
      <c r="D63" s="21">
        <v>0.15</v>
      </c>
      <c r="E63" s="21">
        <v>0.15</v>
      </c>
      <c r="F63" s="21">
        <v>0.15</v>
      </c>
      <c r="G63" s="21">
        <v>0.15</v>
      </c>
      <c r="H63" s="21">
        <v>0.15</v>
      </c>
      <c r="K63" s="10">
        <v>0.9375</v>
      </c>
      <c r="L63" s="11">
        <f t="shared" si="2"/>
        <v>0.99999999999999944</v>
      </c>
      <c r="M63" s="11">
        <f t="shared" si="3"/>
        <v>1.0000000000000004</v>
      </c>
      <c r="N63" s="11">
        <f t="shared" si="4"/>
        <v>1.0000000000000002</v>
      </c>
      <c r="O63" s="11">
        <f t="shared" si="5"/>
        <v>1.0000000000000002</v>
      </c>
      <c r="P63" s="11">
        <f t="shared" si="6"/>
        <v>0.99999999999999978</v>
      </c>
      <c r="Q63" s="11">
        <f t="shared" si="7"/>
        <v>0.99999999999999978</v>
      </c>
      <c r="R63" s="11">
        <f t="shared" si="8"/>
        <v>1.0000000000000004</v>
      </c>
      <c r="W63" s="10">
        <v>0.9375</v>
      </c>
      <c r="X63" s="11">
        <f t="shared" si="11"/>
        <v>0.14999999999999997</v>
      </c>
      <c r="Y63" s="11">
        <f t="shared" si="10"/>
        <v>0.15</v>
      </c>
      <c r="Z63" s="11">
        <f t="shared" si="10"/>
        <v>0.15</v>
      </c>
      <c r="AA63" s="11">
        <f t="shared" si="10"/>
        <v>0.15</v>
      </c>
      <c r="AB63" s="11">
        <f t="shared" si="10"/>
        <v>0.15</v>
      </c>
      <c r="AC63" s="11">
        <f t="shared" si="10"/>
        <v>0.15</v>
      </c>
      <c r="AD63" s="11">
        <f t="shared" si="10"/>
        <v>0.15</v>
      </c>
    </row>
    <row r="64" spans="1:30" ht="15.6" x14ac:dyDescent="0.3">
      <c r="A64" s="10">
        <v>0.94791666666666663</v>
      </c>
      <c r="B64" s="21">
        <v>0.15</v>
      </c>
      <c r="C64" s="21">
        <v>0.15</v>
      </c>
      <c r="D64" s="21">
        <v>0.15</v>
      </c>
      <c r="E64" s="21">
        <v>0.15</v>
      </c>
      <c r="F64" s="21">
        <v>0.15</v>
      </c>
      <c r="G64" s="21">
        <v>0.15</v>
      </c>
      <c r="H64" s="21">
        <v>0.15</v>
      </c>
      <c r="K64" s="10">
        <v>0.94791666666666663</v>
      </c>
      <c r="L64" s="11">
        <f t="shared" si="2"/>
        <v>0.99999999999999944</v>
      </c>
      <c r="M64" s="11">
        <f t="shared" si="3"/>
        <v>1.0000000000000004</v>
      </c>
      <c r="N64" s="11">
        <f t="shared" si="4"/>
        <v>1.0000000000000002</v>
      </c>
      <c r="O64" s="11">
        <f t="shared" si="5"/>
        <v>1.0000000000000002</v>
      </c>
      <c r="P64" s="11">
        <f t="shared" si="6"/>
        <v>0.99999999999999978</v>
      </c>
      <c r="Q64" s="11">
        <f t="shared" si="7"/>
        <v>0.99999999999999978</v>
      </c>
      <c r="R64" s="11">
        <f t="shared" si="8"/>
        <v>1.0000000000000004</v>
      </c>
      <c r="W64" s="10">
        <v>0.94791666666666663</v>
      </c>
      <c r="X64" s="11">
        <f t="shared" si="11"/>
        <v>0.14999999999999997</v>
      </c>
      <c r="Y64" s="11">
        <f t="shared" si="10"/>
        <v>0.15</v>
      </c>
      <c r="Z64" s="11">
        <f t="shared" si="10"/>
        <v>0.15</v>
      </c>
      <c r="AA64" s="11">
        <f t="shared" si="10"/>
        <v>0.15</v>
      </c>
      <c r="AB64" s="11">
        <f t="shared" si="10"/>
        <v>0.15</v>
      </c>
      <c r="AC64" s="11">
        <f t="shared" si="10"/>
        <v>0.15</v>
      </c>
      <c r="AD64" s="11">
        <f t="shared" si="10"/>
        <v>0.15</v>
      </c>
    </row>
    <row r="65" spans="1:31" ht="15.6" x14ac:dyDescent="0.3">
      <c r="A65" s="10">
        <v>0.95833333333333337</v>
      </c>
      <c r="B65" s="21">
        <v>0.15</v>
      </c>
      <c r="C65" s="21">
        <v>0.15</v>
      </c>
      <c r="D65" s="21">
        <v>0.15</v>
      </c>
      <c r="E65" s="21">
        <v>0.15</v>
      </c>
      <c r="F65" s="21">
        <v>0.15</v>
      </c>
      <c r="G65" s="21">
        <v>0.15</v>
      </c>
      <c r="H65" s="21">
        <v>0.15</v>
      </c>
      <c r="K65" s="10">
        <v>0.95833333333333337</v>
      </c>
      <c r="L65" s="11">
        <f t="shared" si="2"/>
        <v>0.99999999999999944</v>
      </c>
      <c r="M65" s="11">
        <f t="shared" si="3"/>
        <v>1.0000000000000004</v>
      </c>
      <c r="N65" s="11">
        <f t="shared" si="4"/>
        <v>1.0000000000000002</v>
      </c>
      <c r="O65" s="11">
        <f t="shared" si="5"/>
        <v>1.0000000000000002</v>
      </c>
      <c r="P65" s="11">
        <f t="shared" si="6"/>
        <v>0.99999999999999978</v>
      </c>
      <c r="Q65" s="11">
        <f t="shared" si="7"/>
        <v>0.99999999999999978</v>
      </c>
      <c r="R65" s="11">
        <f t="shared" si="8"/>
        <v>1.0000000000000004</v>
      </c>
      <c r="W65" s="10">
        <v>0.95833333333333337</v>
      </c>
      <c r="X65" s="11">
        <f t="shared" si="11"/>
        <v>0.14999999999999997</v>
      </c>
      <c r="Y65" s="11">
        <f t="shared" si="10"/>
        <v>0.15</v>
      </c>
      <c r="Z65" s="11">
        <f t="shared" si="10"/>
        <v>0.15</v>
      </c>
      <c r="AA65" s="11">
        <f t="shared" si="10"/>
        <v>0.15</v>
      </c>
      <c r="AB65" s="11">
        <f t="shared" si="10"/>
        <v>0.15</v>
      </c>
      <c r="AC65" s="11">
        <f t="shared" si="10"/>
        <v>0.15</v>
      </c>
      <c r="AD65" s="11">
        <f t="shared" si="10"/>
        <v>0.15</v>
      </c>
    </row>
    <row r="66" spans="1:31" x14ac:dyDescent="0.3">
      <c r="A66" s="1" t="s">
        <v>18</v>
      </c>
      <c r="B66" s="13">
        <f>SUMPRODUCT(B5:B65,'BREAKDOWN CALL VOLUME'!B5:B65)/SUM('BREAKDOWN CALL VOLUME'!B5:B65)</f>
        <v>0.15000000000000008</v>
      </c>
      <c r="C66" s="13">
        <f>SUMPRODUCT(C5:C65,'BREAKDOWN CALL VOLUME'!C5:C65)/SUM('BREAKDOWN CALL VOLUME'!C5:C65)</f>
        <v>0.14999999999999994</v>
      </c>
      <c r="D66" s="13">
        <f>SUMPRODUCT(D5:D65,'BREAKDOWN CALL VOLUME'!D5:D65)/SUM('BREAKDOWN CALL VOLUME'!D5:D65)</f>
        <v>0.14999999999999997</v>
      </c>
      <c r="E66" s="13">
        <f>SUMPRODUCT(E5:E65,'BREAKDOWN CALL VOLUME'!E5:E65)/SUM('BREAKDOWN CALL VOLUME'!E5:E65)</f>
        <v>0.14999999999999997</v>
      </c>
      <c r="F66" s="13">
        <f>SUMPRODUCT(F5:F65,'BREAKDOWN CALL VOLUME'!F5:F65)/SUM('BREAKDOWN CALL VOLUME'!F5:F65)</f>
        <v>0.15000000000000002</v>
      </c>
      <c r="G66" s="13">
        <f>SUMPRODUCT(G5:G65,'BREAKDOWN CALL VOLUME'!G5:G65)/SUM('BREAKDOWN CALL VOLUME'!G5:G65)</f>
        <v>0.15000000000000002</v>
      </c>
      <c r="H66" s="13">
        <f>SUMPRODUCT(H5:H65,'BREAKDOWN CALL VOLUME'!H5:H65)/SUM('BREAKDOWN CALL VOLUME'!H5:H65)</f>
        <v>0.14999999999999994</v>
      </c>
      <c r="I66" s="13">
        <f>SUMPRODUCT(B66:H66,'BREAKDOWN CALL VOLUME'!B66:H66)/SUM('BREAKDOWN CALL VOLUME'!B66:H66)</f>
        <v>0.15</v>
      </c>
      <c r="J66" s="13"/>
      <c r="L66" s="11">
        <f>B67</f>
        <v>1.0000000000000004</v>
      </c>
      <c r="M66" s="11">
        <f t="shared" ref="M66:R66" si="12">C67</f>
        <v>0.99999999999999967</v>
      </c>
      <c r="N66" s="11">
        <f t="shared" si="12"/>
        <v>0.99999999999999978</v>
      </c>
      <c r="O66" s="11">
        <f t="shared" si="12"/>
        <v>0.99999999999999978</v>
      </c>
      <c r="P66" s="11">
        <f t="shared" si="12"/>
        <v>1.0000000000000002</v>
      </c>
      <c r="Q66" s="11">
        <f t="shared" si="12"/>
        <v>1.0000000000000002</v>
      </c>
      <c r="R66" s="11">
        <f t="shared" si="12"/>
        <v>0.99999999999999967</v>
      </c>
      <c r="W66" s="9" t="s">
        <v>18</v>
      </c>
      <c r="X66" s="11">
        <f>L66*$W$3</f>
        <v>0.15000000000000005</v>
      </c>
      <c r="Y66" s="11">
        <f t="shared" ref="Y66:AD66" si="13">M66*$W$3</f>
        <v>0.14999999999999994</v>
      </c>
      <c r="Z66" s="11">
        <f t="shared" si="13"/>
        <v>0.14999999999999997</v>
      </c>
      <c r="AA66" s="11">
        <f t="shared" si="13"/>
        <v>0.14999999999999997</v>
      </c>
      <c r="AB66" s="11">
        <f t="shared" si="13"/>
        <v>0.15000000000000002</v>
      </c>
      <c r="AC66" s="11">
        <f t="shared" si="13"/>
        <v>0.15000000000000002</v>
      </c>
      <c r="AD66" s="11">
        <f t="shared" si="13"/>
        <v>0.14999999999999994</v>
      </c>
      <c r="AE66" s="5"/>
    </row>
    <row r="67" spans="1:31" x14ac:dyDescent="0.3">
      <c r="A67" s="9" t="s">
        <v>19</v>
      </c>
      <c r="B67" s="11">
        <f>B66/$I$66</f>
        <v>1.0000000000000004</v>
      </c>
      <c r="C67" s="11">
        <f t="shared" ref="C67:H67" si="14">C66/$I$66</f>
        <v>0.99999999999999967</v>
      </c>
      <c r="D67" s="11">
        <f t="shared" si="14"/>
        <v>0.99999999999999978</v>
      </c>
      <c r="E67" s="11">
        <f t="shared" si="14"/>
        <v>0.99999999999999978</v>
      </c>
      <c r="F67" s="11">
        <f t="shared" si="14"/>
        <v>1.0000000000000002</v>
      </c>
      <c r="G67" s="11">
        <f t="shared" si="14"/>
        <v>1.0000000000000002</v>
      </c>
      <c r="H67" s="11">
        <f t="shared" si="14"/>
        <v>0.99999999999999967</v>
      </c>
      <c r="I67" s="14"/>
      <c r="J67" s="14"/>
      <c r="W67" s="8"/>
      <c r="X67" s="11"/>
      <c r="Y67" s="11"/>
      <c r="Z67" s="11"/>
      <c r="AA67" s="11"/>
      <c r="AB67" s="11"/>
      <c r="AC67" s="11"/>
      <c r="AD67" s="11"/>
      <c r="AE67" s="14"/>
    </row>
  </sheetData>
  <mergeCells count="1">
    <mergeCell ref="A1:A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DA93-3853-4593-BADE-6C83B16A4A37}">
  <dimension ref="B2:BB71"/>
  <sheetViews>
    <sheetView showGridLines="0" workbookViewId="0">
      <selection activeCell="K73" sqref="K73"/>
    </sheetView>
  </sheetViews>
  <sheetFormatPr defaultRowHeight="14.4" x14ac:dyDescent="0.3"/>
  <cols>
    <col min="2" max="9" width="12.77734375" customWidth="1"/>
    <col min="11" max="18" width="12.77734375" customWidth="1"/>
    <col min="20" max="27" width="12.77734375" customWidth="1"/>
    <col min="29" max="36" width="12.77734375" customWidth="1"/>
    <col min="38" max="38" width="23.5546875" customWidth="1"/>
    <col min="39" max="45" width="12.77734375" customWidth="1"/>
    <col min="47" max="54" width="12.77734375" customWidth="1"/>
  </cols>
  <sheetData>
    <row r="2" spans="2:54" x14ac:dyDescent="0.3">
      <c r="B2" s="9" t="s">
        <v>30</v>
      </c>
      <c r="C2" s="9">
        <v>10901</v>
      </c>
      <c r="K2" s="9" t="s">
        <v>25</v>
      </c>
      <c r="L2" s="8">
        <v>1214</v>
      </c>
      <c r="T2" s="9" t="s">
        <v>28</v>
      </c>
      <c r="U2" s="26">
        <v>0.15</v>
      </c>
      <c r="AC2" s="9" t="s">
        <v>31</v>
      </c>
      <c r="AD2" s="26">
        <v>0.75</v>
      </c>
      <c r="AL2" s="9" t="s">
        <v>32</v>
      </c>
      <c r="AU2" s="9"/>
    </row>
    <row r="3" spans="2:54" x14ac:dyDescent="0.3"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K3" s="19" t="s">
        <v>10</v>
      </c>
      <c r="L3" s="19" t="s">
        <v>11</v>
      </c>
      <c r="M3" s="19" t="s">
        <v>12</v>
      </c>
      <c r="N3" s="19" t="s">
        <v>13</v>
      </c>
      <c r="O3" s="19" t="s">
        <v>14</v>
      </c>
      <c r="P3" s="19" t="s">
        <v>15</v>
      </c>
      <c r="Q3" s="19" t="s">
        <v>16</v>
      </c>
      <c r="R3" s="19" t="s">
        <v>17</v>
      </c>
      <c r="T3" s="19" t="s">
        <v>10</v>
      </c>
      <c r="U3" s="19" t="s">
        <v>11</v>
      </c>
      <c r="V3" s="19" t="s">
        <v>12</v>
      </c>
      <c r="W3" s="19" t="s">
        <v>13</v>
      </c>
      <c r="X3" s="19" t="s">
        <v>14</v>
      </c>
      <c r="Y3" s="19" t="s">
        <v>15</v>
      </c>
      <c r="Z3" s="19" t="s">
        <v>16</v>
      </c>
      <c r="AA3" s="19" t="s">
        <v>17</v>
      </c>
      <c r="AC3" s="19" t="s">
        <v>10</v>
      </c>
      <c r="AD3" s="19" t="s">
        <v>11</v>
      </c>
      <c r="AE3" s="19" t="s">
        <v>12</v>
      </c>
      <c r="AF3" s="19" t="s">
        <v>13</v>
      </c>
      <c r="AG3" s="19" t="s">
        <v>14</v>
      </c>
      <c r="AH3" s="19" t="s">
        <v>15</v>
      </c>
      <c r="AI3" s="19" t="s">
        <v>16</v>
      </c>
      <c r="AJ3" s="19" t="s">
        <v>17</v>
      </c>
      <c r="AL3" s="19" t="s">
        <v>10</v>
      </c>
      <c r="AM3" s="19" t="s">
        <v>11</v>
      </c>
      <c r="AN3" s="19" t="s">
        <v>12</v>
      </c>
      <c r="AO3" s="19" t="s">
        <v>13</v>
      </c>
      <c r="AP3" s="19" t="s">
        <v>14</v>
      </c>
      <c r="AQ3" s="19" t="s">
        <v>15</v>
      </c>
      <c r="AR3" s="19" t="s">
        <v>16</v>
      </c>
      <c r="AS3" s="19" t="s">
        <v>17</v>
      </c>
      <c r="AU3" s="19"/>
      <c r="AV3" s="19"/>
      <c r="AW3" s="19"/>
      <c r="AX3" s="19"/>
      <c r="AY3" s="19"/>
      <c r="AZ3" s="19"/>
      <c r="BA3" s="19"/>
      <c r="BB3" s="19"/>
    </row>
    <row r="4" spans="2:54" x14ac:dyDescent="0.3">
      <c r="B4" s="24">
        <v>0.33333333333333331</v>
      </c>
      <c r="C4" s="4">
        <f>'BREAKDOWN CALL VOLUME'!W5</f>
        <v>23.953640204538658</v>
      </c>
      <c r="D4" s="4">
        <f>'BREAKDOWN CALL VOLUME'!X5</f>
        <v>23.189742794826717</v>
      </c>
      <c r="E4" s="4">
        <f>'BREAKDOWN CALL VOLUME'!Y5</f>
        <v>23.02605049274559</v>
      </c>
      <c r="F4" s="4">
        <f>'BREAKDOWN CALL VOLUME'!Z5</f>
        <v>21.205593678691812</v>
      </c>
      <c r="G4" s="4">
        <f>'BREAKDOWN CALL VOLUME'!AA5</f>
        <v>22.879719495430635</v>
      </c>
      <c r="H4" s="4">
        <f>'BREAKDOWN CALL VOLUME'!AB5</f>
        <v>13.953770628623134</v>
      </c>
      <c r="I4" s="4">
        <f>'BREAKDOWN CALL VOLUME'!AC5</f>
        <v>6.1384613280423661</v>
      </c>
      <c r="K4" s="23">
        <v>0.33333333333333331</v>
      </c>
      <c r="L4" s="20">
        <f>'BREAKDOWN AHT'!X5</f>
        <v>370.02777062955585</v>
      </c>
      <c r="M4" s="20">
        <f>'BREAKDOWN AHT'!Y5</f>
        <v>375.53805792284163</v>
      </c>
      <c r="N4" s="20">
        <f>'BREAKDOWN AHT'!Z5</f>
        <v>376.80781977738133</v>
      </c>
      <c r="O4" s="20">
        <f>'BREAKDOWN AHT'!AA5</f>
        <v>404.69466503557516</v>
      </c>
      <c r="P4" s="20">
        <f>'BREAKDOWN AHT'!AB5</f>
        <v>364.44561002374905</v>
      </c>
      <c r="Q4" s="20">
        <f>'BREAKDOWN AHT'!AC5</f>
        <v>337.92435770345645</v>
      </c>
      <c r="R4" s="20">
        <f>'BREAKDOWN AHT'!AD5</f>
        <v>306.6594667567702</v>
      </c>
      <c r="T4" s="23">
        <v>0.33333333333333331</v>
      </c>
      <c r="U4" s="18">
        <f>'BREAKDOWN SHRINKAGE'!X5</f>
        <v>0.14999999999999997</v>
      </c>
      <c r="V4" s="18">
        <f>'BREAKDOWN SHRINKAGE'!Y5</f>
        <v>0.15</v>
      </c>
      <c r="W4" s="18">
        <f>'BREAKDOWN SHRINKAGE'!Z5</f>
        <v>0.15</v>
      </c>
      <c r="X4" s="18">
        <f>'BREAKDOWN SHRINKAGE'!AA5</f>
        <v>0.15</v>
      </c>
      <c r="Y4" s="18">
        <f>'BREAKDOWN SHRINKAGE'!AB5</f>
        <v>0.15</v>
      </c>
      <c r="Z4" s="18">
        <f>'BREAKDOWN SHRINKAGE'!AC5</f>
        <v>0.15</v>
      </c>
      <c r="AA4" s="18">
        <f>'BREAKDOWN SHRINKAGE'!AD5</f>
        <v>0.15</v>
      </c>
      <c r="AC4" s="23">
        <v>0.33333333333333331</v>
      </c>
      <c r="AD4" s="25">
        <v>0.75</v>
      </c>
      <c r="AE4" s="25">
        <v>0.75</v>
      </c>
      <c r="AF4" s="25">
        <v>0.75</v>
      </c>
      <c r="AG4" s="25">
        <v>0.75</v>
      </c>
      <c r="AH4" s="25">
        <v>0.75</v>
      </c>
      <c r="AI4" s="25">
        <v>0.75</v>
      </c>
      <c r="AJ4" s="25">
        <v>0.75</v>
      </c>
      <c r="AL4" s="23">
        <v>0.33333333333333331</v>
      </c>
      <c r="AM4" s="4">
        <f>(C4*L4)/(1800*AD4)</f>
        <v>6.5655645061836578</v>
      </c>
      <c r="AN4" s="4">
        <f t="shared" ref="AN4:AS4" si="0">(D4*M4)/(1800*AE4)</f>
        <v>6.4508377577032849</v>
      </c>
      <c r="AO4" s="4">
        <f t="shared" si="0"/>
        <v>6.4269599142632314</v>
      </c>
      <c r="AP4" s="4">
        <f t="shared" si="0"/>
        <v>6.3568819486508845</v>
      </c>
      <c r="AQ4" s="4">
        <f t="shared" si="0"/>
        <v>6.1766024656922083</v>
      </c>
      <c r="AR4" s="4">
        <f t="shared" si="0"/>
        <v>3.4928288720139471</v>
      </c>
      <c r="AS4" s="4">
        <f t="shared" si="0"/>
        <v>1.3943831685663166</v>
      </c>
      <c r="AU4" s="23"/>
    </row>
    <row r="5" spans="2:54" x14ac:dyDescent="0.3">
      <c r="B5" s="24">
        <v>0.34375</v>
      </c>
      <c r="C5" s="4">
        <f>'BREAKDOWN CALL VOLUME'!W6</f>
        <v>21.007178767078319</v>
      </c>
      <c r="D5" s="4">
        <f>'BREAKDOWN CALL VOLUME'!X6</f>
        <v>18.715486537942503</v>
      </c>
      <c r="E5" s="4">
        <f>'BREAKDOWN CALL VOLUME'!Y6</f>
        <v>20.424334964213692</v>
      </c>
      <c r="F5" s="4">
        <f>'BREAKDOWN CALL VOLUME'!Z6</f>
        <v>18.582796565800979</v>
      </c>
      <c r="G5" s="4">
        <f>'BREAKDOWN CALL VOLUME'!AA6</f>
        <v>19.252446892496511</v>
      </c>
      <c r="H5" s="4">
        <f>'BREAKDOWN CALL VOLUME'!AB6</f>
        <v>12.037372945722103</v>
      </c>
      <c r="I5" s="4">
        <f>'BREAKDOWN CALL VOLUME'!AC6</f>
        <v>6.0215382551272736</v>
      </c>
      <c r="K5" s="23">
        <v>0.34375</v>
      </c>
      <c r="L5" s="20">
        <f>'BREAKDOWN AHT'!X6</f>
        <v>726.63918958850309</v>
      </c>
      <c r="M5" s="20">
        <f>'BREAKDOWN AHT'!Y6</f>
        <v>812.76737575964273</v>
      </c>
      <c r="N5" s="20">
        <f>'BREAKDOWN AHT'!Z6</f>
        <v>928.79485993956769</v>
      </c>
      <c r="O5" s="20">
        <f>'BREAKDOWN AHT'!AA6</f>
        <v>1275.8950438748873</v>
      </c>
      <c r="P5" s="20">
        <f>'BREAKDOWN AHT'!AB6</f>
        <v>916.43265018593536</v>
      </c>
      <c r="Q5" s="20">
        <f>'BREAKDOWN AHT'!AC6</f>
        <v>573.90840048112727</v>
      </c>
      <c r="R5" s="20">
        <f>'BREAKDOWN AHT'!AD6</f>
        <v>690.22337791113659</v>
      </c>
      <c r="T5" s="23">
        <v>0.34375</v>
      </c>
      <c r="U5" s="18">
        <f>'BREAKDOWN SHRINKAGE'!X6</f>
        <v>0.14999999999999997</v>
      </c>
      <c r="V5" s="18">
        <f>'BREAKDOWN SHRINKAGE'!Y6</f>
        <v>0.15</v>
      </c>
      <c r="W5" s="18">
        <f>'BREAKDOWN SHRINKAGE'!Z6</f>
        <v>0.15</v>
      </c>
      <c r="X5" s="18">
        <f>'BREAKDOWN SHRINKAGE'!AA6</f>
        <v>0.15</v>
      </c>
      <c r="Y5" s="18">
        <f>'BREAKDOWN SHRINKAGE'!AB6</f>
        <v>0.15</v>
      </c>
      <c r="Z5" s="18">
        <f>'BREAKDOWN SHRINKAGE'!AC6</f>
        <v>0.15</v>
      </c>
      <c r="AA5" s="18">
        <f>'BREAKDOWN SHRINKAGE'!AD6</f>
        <v>0.15</v>
      </c>
      <c r="AC5" s="23">
        <v>0.34375</v>
      </c>
      <c r="AD5" s="25">
        <v>0.75</v>
      </c>
      <c r="AE5" s="25">
        <v>0.75</v>
      </c>
      <c r="AF5" s="25">
        <v>0.75</v>
      </c>
      <c r="AG5" s="25">
        <v>0.75</v>
      </c>
      <c r="AH5" s="25">
        <v>0.75</v>
      </c>
      <c r="AI5" s="25">
        <v>0.75</v>
      </c>
      <c r="AJ5" s="25">
        <v>0.75</v>
      </c>
      <c r="AL5" s="23">
        <v>0.34375</v>
      </c>
      <c r="AM5" s="4">
        <f t="shared" ref="AM5:AM64" si="1">(C5*L5)/(1800*AD5)</f>
        <v>11.307140262852295</v>
      </c>
      <c r="AN5" s="4">
        <f t="shared" ref="AN5:AN64" si="2">(D5*M5)/(1800*AE5)</f>
        <v>11.267656947784037</v>
      </c>
      <c r="AO5" s="4">
        <f t="shared" ref="AO5:AO64" si="3">(E5*N5)/(1800*AF5)</f>
        <v>14.051864690700496</v>
      </c>
      <c r="AP5" s="4">
        <f t="shared" ref="AP5:AP64" si="4">(F5*O5)/(1800*AG5)</f>
        <v>17.562739288622776</v>
      </c>
      <c r="AQ5" s="4">
        <f t="shared" ref="AQ5:AQ64" si="5">(G5*P5)/(1800*AH5)</f>
        <v>13.069311798707076</v>
      </c>
      <c r="AR5" s="4">
        <f t="shared" ref="AR5:AR64" si="6">(H5*Q5)/(1800*AI5)</f>
        <v>5.1172958913141979</v>
      </c>
      <c r="AS5" s="4">
        <f t="shared" ref="AS5:AS64" si="7">(I5*R5)/(1800*AJ5)</f>
        <v>3.0786714627222804</v>
      </c>
      <c r="AU5" s="23"/>
    </row>
    <row r="6" spans="2:54" x14ac:dyDescent="0.3">
      <c r="B6" s="24">
        <v>0.35416666666666669</v>
      </c>
      <c r="C6" s="4">
        <f>'BREAKDOWN CALL VOLUME'!W7</f>
        <v>18.442666034473952</v>
      </c>
      <c r="D6" s="4">
        <f>'BREAKDOWN CALL VOLUME'!X7</f>
        <v>20.188717256672671</v>
      </c>
      <c r="E6" s="4">
        <f>'BREAKDOWN CALL VOLUME'!Y7</f>
        <v>19.754684637518157</v>
      </c>
      <c r="F6" s="4">
        <f>'BREAKDOWN CALL VOLUME'!Z7</f>
        <v>18.303775596344508</v>
      </c>
      <c r="G6" s="4">
        <f>'BREAKDOWN CALL VOLUME'!AA7</f>
        <v>18.471188178018391</v>
      </c>
      <c r="H6" s="4">
        <f>'BREAKDOWN CALL VOLUME'!AB7</f>
        <v>13.17523406994459</v>
      </c>
      <c r="I6" s="4">
        <f>'BREAKDOWN CALL VOLUME'!AC7</f>
        <v>7.1323074478206534</v>
      </c>
      <c r="K6" s="23">
        <v>0.35416666666666669</v>
      </c>
      <c r="L6" s="20">
        <f>'BREAKDOWN AHT'!X7</f>
        <v>1195.4927649345962</v>
      </c>
      <c r="M6" s="20">
        <f>'BREAKDOWN AHT'!Y7</f>
        <v>1261.376634745621</v>
      </c>
      <c r="N6" s="20">
        <f>'BREAKDOWN AHT'!Z7</f>
        <v>1249.8289892005616</v>
      </c>
      <c r="O6" s="20">
        <f>'BREAKDOWN AHT'!AA7</f>
        <v>1247.2415499498013</v>
      </c>
      <c r="P6" s="20">
        <f>'BREAKDOWN AHT'!AB7</f>
        <v>962.52740128281243</v>
      </c>
      <c r="Q6" s="20">
        <f>'BREAKDOWN AHT'!AC7</f>
        <v>1289.6468043372608</v>
      </c>
      <c r="R6" s="20">
        <f>'BREAKDOWN AHT'!AD7</f>
        <v>1005.8670087330465</v>
      </c>
      <c r="T6" s="23">
        <v>0.35416666666666669</v>
      </c>
      <c r="U6" s="18">
        <f>'BREAKDOWN SHRINKAGE'!X7</f>
        <v>0.14999999999999997</v>
      </c>
      <c r="V6" s="18">
        <f>'BREAKDOWN SHRINKAGE'!Y7</f>
        <v>0.15</v>
      </c>
      <c r="W6" s="18">
        <f>'BREAKDOWN SHRINKAGE'!Z7</f>
        <v>0.15</v>
      </c>
      <c r="X6" s="18">
        <f>'BREAKDOWN SHRINKAGE'!AA7</f>
        <v>0.15</v>
      </c>
      <c r="Y6" s="18">
        <f>'BREAKDOWN SHRINKAGE'!AB7</f>
        <v>0.15</v>
      </c>
      <c r="Z6" s="18">
        <f>'BREAKDOWN SHRINKAGE'!AC7</f>
        <v>0.15</v>
      </c>
      <c r="AA6" s="18">
        <f>'BREAKDOWN SHRINKAGE'!AD7</f>
        <v>0.15</v>
      </c>
      <c r="AC6" s="23">
        <v>0.35416666666666669</v>
      </c>
      <c r="AD6" s="25">
        <v>0.75</v>
      </c>
      <c r="AE6" s="25">
        <v>0.75</v>
      </c>
      <c r="AF6" s="25">
        <v>0.75</v>
      </c>
      <c r="AG6" s="25">
        <v>0.75</v>
      </c>
      <c r="AH6" s="25">
        <v>0.75</v>
      </c>
      <c r="AI6" s="25">
        <v>0.75</v>
      </c>
      <c r="AJ6" s="25">
        <v>0.75</v>
      </c>
      <c r="AL6" s="23">
        <v>0.35416666666666669</v>
      </c>
      <c r="AM6" s="4">
        <f t="shared" si="1"/>
        <v>16.331906526161944</v>
      </c>
      <c r="AN6" s="4">
        <f t="shared" si="2"/>
        <v>18.863389802261199</v>
      </c>
      <c r="AO6" s="4">
        <f t="shared" si="3"/>
        <v>18.288872246285319</v>
      </c>
      <c r="AP6" s="4">
        <f t="shared" si="4"/>
        <v>16.910540329420794</v>
      </c>
      <c r="AQ6" s="4">
        <f t="shared" si="5"/>
        <v>13.169647967106554</v>
      </c>
      <c r="AR6" s="4">
        <f t="shared" si="6"/>
        <v>12.586221121999589</v>
      </c>
      <c r="AS6" s="4">
        <f t="shared" si="7"/>
        <v>5.3141872280768814</v>
      </c>
      <c r="AU6" s="23"/>
    </row>
    <row r="7" spans="2:54" x14ac:dyDescent="0.3">
      <c r="B7" s="24">
        <v>0.36458333333333331</v>
      </c>
      <c r="C7" s="4">
        <f>'BREAKDOWN CALL VOLUME'!W8</f>
        <v>20.516101860834933</v>
      </c>
      <c r="D7" s="4">
        <f>'BREAKDOWN CALL VOLUME'!X8</f>
        <v>20.898050565690898</v>
      </c>
      <c r="E7" s="4">
        <f>'BREAKDOWN CALL VOLUME'!Y8</f>
        <v>20.14531399475722</v>
      </c>
      <c r="F7" s="4">
        <f>'BREAKDOWN CALL VOLUME'!Z8</f>
        <v>19.643076249735572</v>
      </c>
      <c r="G7" s="4">
        <f>'BREAKDOWN CALL VOLUME'!AA8</f>
        <v>21.149789484800511</v>
      </c>
      <c r="H7" s="4">
        <f>'BREAKDOWN CALL VOLUME'!AB8</f>
        <v>14.852082042482992</v>
      </c>
      <c r="I7" s="4">
        <f>'BREAKDOWN CALL VOLUME'!AC8</f>
        <v>7.8923074217687557</v>
      </c>
      <c r="K7" s="23">
        <v>0.36458333333333331</v>
      </c>
      <c r="L7" s="20">
        <f>'BREAKDOWN AHT'!X8</f>
        <v>1025.5123808221522</v>
      </c>
      <c r="M7" s="20">
        <f>'BREAKDOWN AHT'!Y8</f>
        <v>1440.9401271942143</v>
      </c>
      <c r="N7" s="20">
        <f>'BREAKDOWN AHT'!Z8</f>
        <v>1276.8533547085019</v>
      </c>
      <c r="O7" s="20">
        <f>'BREAKDOWN AHT'!AA8</f>
        <v>1389.2632154915307</v>
      </c>
      <c r="P7" s="20">
        <f>'BREAKDOWN AHT'!AB8</f>
        <v>966.55230678399505</v>
      </c>
      <c r="Q7" s="20">
        <f>'BREAKDOWN AHT'!AC8</f>
        <v>1259.3402242241893</v>
      </c>
      <c r="R7" s="20">
        <f>'BREAKDOWN AHT'!AD8</f>
        <v>643.50572477240985</v>
      </c>
      <c r="T7" s="23">
        <v>0.36458333333333331</v>
      </c>
      <c r="U7" s="18">
        <f>'BREAKDOWN SHRINKAGE'!X8</f>
        <v>0.14999999999999997</v>
      </c>
      <c r="V7" s="18">
        <f>'BREAKDOWN SHRINKAGE'!Y8</f>
        <v>0.15</v>
      </c>
      <c r="W7" s="18">
        <f>'BREAKDOWN SHRINKAGE'!Z8</f>
        <v>0.15</v>
      </c>
      <c r="X7" s="18">
        <f>'BREAKDOWN SHRINKAGE'!AA8</f>
        <v>0.15</v>
      </c>
      <c r="Y7" s="18">
        <f>'BREAKDOWN SHRINKAGE'!AB8</f>
        <v>0.15</v>
      </c>
      <c r="Z7" s="18">
        <f>'BREAKDOWN SHRINKAGE'!AC8</f>
        <v>0.15</v>
      </c>
      <c r="AA7" s="18">
        <f>'BREAKDOWN SHRINKAGE'!AD8</f>
        <v>0.15</v>
      </c>
      <c r="AC7" s="23">
        <v>0.36458333333333331</v>
      </c>
      <c r="AD7" s="25">
        <v>0.75</v>
      </c>
      <c r="AE7" s="25">
        <v>0.75</v>
      </c>
      <c r="AF7" s="25">
        <v>0.75</v>
      </c>
      <c r="AG7" s="25">
        <v>0.75</v>
      </c>
      <c r="AH7" s="25">
        <v>0.75</v>
      </c>
      <c r="AI7" s="25">
        <v>0.75</v>
      </c>
      <c r="AJ7" s="25">
        <v>0.75</v>
      </c>
      <c r="AL7" s="23">
        <v>0.36458333333333331</v>
      </c>
      <c r="AM7" s="4">
        <f t="shared" si="1"/>
        <v>15.584827010736756</v>
      </c>
      <c r="AN7" s="4">
        <f t="shared" si="2"/>
        <v>22.305807140916862</v>
      </c>
      <c r="AO7" s="4">
        <f t="shared" si="3"/>
        <v>19.053786485823622</v>
      </c>
      <c r="AP7" s="4">
        <f t="shared" si="4"/>
        <v>20.214372794705895</v>
      </c>
      <c r="AQ7" s="4">
        <f t="shared" si="5"/>
        <v>15.142502084836901</v>
      </c>
      <c r="AR7" s="4">
        <f t="shared" si="6"/>
        <v>13.854684688575249</v>
      </c>
      <c r="AS7" s="4">
        <f t="shared" si="7"/>
        <v>3.762033338942202</v>
      </c>
      <c r="AU7" s="23"/>
    </row>
    <row r="8" spans="2:54" x14ac:dyDescent="0.3">
      <c r="B8" s="24">
        <v>0.375</v>
      </c>
      <c r="C8" s="4">
        <f>'BREAKDOWN CALL VOLUME'!W9</f>
        <v>32.029127107207728</v>
      </c>
      <c r="D8" s="4">
        <f>'BREAKDOWN CALL VOLUME'!X9</f>
        <v>30.119383582927878</v>
      </c>
      <c r="E8" s="4">
        <f>'BREAKDOWN CALL VOLUME'!Y9</f>
        <v>32.199019875276775</v>
      </c>
      <c r="F8" s="4">
        <f>'BREAKDOWN CALL VOLUME'!Z9</f>
        <v>27.34405500673418</v>
      </c>
      <c r="G8" s="4">
        <f>'BREAKDOWN CALL VOLUME'!AA9</f>
        <v>24.777062087734642</v>
      </c>
      <c r="H8" s="4">
        <f>'BREAKDOWN CALL VOLUME'!AB9</f>
        <v>23.715421325900262</v>
      </c>
      <c r="I8" s="4">
        <f>'BREAKDOWN CALL VOLUME'!AC9</f>
        <v>11.750768827966816</v>
      </c>
      <c r="K8" s="23">
        <v>0.375</v>
      </c>
      <c r="L8" s="20">
        <f>'BREAKDOWN AHT'!X9</f>
        <v>1027.9081579061894</v>
      </c>
      <c r="M8" s="20">
        <f>'BREAKDOWN AHT'!Y9</f>
        <v>940.46229433882911</v>
      </c>
      <c r="N8" s="20">
        <f>'BREAKDOWN AHT'!Z9</f>
        <v>1096.020100405369</v>
      </c>
      <c r="O8" s="20">
        <f>'BREAKDOWN AHT'!AA9</f>
        <v>1154.7645545059629</v>
      </c>
      <c r="P8" s="20">
        <f>'BREAKDOWN AHT'!AB9</f>
        <v>1096.4992558221766</v>
      </c>
      <c r="Q8" s="20">
        <f>'BREAKDOWN AHT'!AC9</f>
        <v>1445.8514702164907</v>
      </c>
      <c r="R8" s="20">
        <f>'BREAKDOWN AHT'!AD9</f>
        <v>795.03862533776703</v>
      </c>
      <c r="T8" s="23">
        <v>0.375</v>
      </c>
      <c r="U8" s="18">
        <f>'BREAKDOWN SHRINKAGE'!X9</f>
        <v>0.14999999999999997</v>
      </c>
      <c r="V8" s="18">
        <f>'BREAKDOWN SHRINKAGE'!Y9</f>
        <v>0.15</v>
      </c>
      <c r="W8" s="18">
        <f>'BREAKDOWN SHRINKAGE'!Z9</f>
        <v>0.15</v>
      </c>
      <c r="X8" s="18">
        <f>'BREAKDOWN SHRINKAGE'!AA9</f>
        <v>0.15</v>
      </c>
      <c r="Y8" s="18">
        <f>'BREAKDOWN SHRINKAGE'!AB9</f>
        <v>0.15</v>
      </c>
      <c r="Z8" s="18">
        <f>'BREAKDOWN SHRINKAGE'!AC9</f>
        <v>0.15</v>
      </c>
      <c r="AA8" s="18">
        <f>'BREAKDOWN SHRINKAGE'!AD9</f>
        <v>0.15</v>
      </c>
      <c r="AC8" s="23">
        <v>0.375</v>
      </c>
      <c r="AD8" s="25">
        <v>0.75</v>
      </c>
      <c r="AE8" s="25">
        <v>0.75</v>
      </c>
      <c r="AF8" s="25">
        <v>0.75</v>
      </c>
      <c r="AG8" s="25">
        <v>0.75</v>
      </c>
      <c r="AH8" s="25">
        <v>0.75</v>
      </c>
      <c r="AI8" s="25">
        <v>0.75</v>
      </c>
      <c r="AJ8" s="25">
        <v>0.75</v>
      </c>
      <c r="AL8" s="23">
        <v>0.375</v>
      </c>
      <c r="AM8" s="4">
        <f t="shared" si="1"/>
        <v>24.387408180824515</v>
      </c>
      <c r="AN8" s="4">
        <f t="shared" si="2"/>
        <v>20.982329324793788</v>
      </c>
      <c r="AO8" s="4">
        <f t="shared" si="3"/>
        <v>26.141313330855795</v>
      </c>
      <c r="AP8" s="4">
        <f t="shared" si="4"/>
        <v>23.389589257954029</v>
      </c>
      <c r="AQ8" s="4">
        <f t="shared" si="5"/>
        <v>20.124466770859925</v>
      </c>
      <c r="AR8" s="4">
        <f t="shared" si="6"/>
        <v>25.399242067301046</v>
      </c>
      <c r="AS8" s="4">
        <f t="shared" si="7"/>
        <v>6.9202334041841631</v>
      </c>
      <c r="AU8" s="23"/>
    </row>
    <row r="9" spans="2:54" x14ac:dyDescent="0.3">
      <c r="B9" s="24">
        <v>0.38541666666666669</v>
      </c>
      <c r="C9" s="4">
        <f>'BREAKDOWN CALL VOLUME'!W10</f>
        <v>30.337639985702715</v>
      </c>
      <c r="D9" s="4">
        <f>'BREAKDOWN CALL VOLUME'!X10</f>
        <v>28.64615286419771</v>
      </c>
      <c r="E9" s="4">
        <f>'BREAKDOWN CALL VOLUME'!Y10</f>
        <v>26.22797112890829</v>
      </c>
      <c r="F9" s="4">
        <f>'BREAKDOWN CALL VOLUME'!Z10</f>
        <v>27.623075976190645</v>
      </c>
      <c r="G9" s="4">
        <f>'BREAKDOWN CALL VOLUME'!AA10</f>
        <v>26.897621455603822</v>
      </c>
      <c r="H9" s="4">
        <f>'BREAKDOWN CALL VOLUME'!AB10</f>
        <v>21.439699077455288</v>
      </c>
      <c r="I9" s="4">
        <f>'BREAKDOWN CALL VOLUME'!AC10</f>
        <v>10.69846117173098</v>
      </c>
      <c r="K9" s="23">
        <v>0.38541666666666669</v>
      </c>
      <c r="L9" s="20">
        <f>'BREAKDOWN AHT'!X10</f>
        <v>1017.8458941532328</v>
      </c>
      <c r="M9" s="20">
        <f>'BREAKDOWN AHT'!Y10</f>
        <v>883.08343317613651</v>
      </c>
      <c r="N9" s="20">
        <f>'BREAKDOWN AHT'!Z10</f>
        <v>1782.4581505237268</v>
      </c>
      <c r="O9" s="20">
        <f>'BREAKDOWN AHT'!AA10</f>
        <v>975.17710428652924</v>
      </c>
      <c r="P9" s="20">
        <f>'BREAKDOWN AHT'!AB10</f>
        <v>1266.886922038907</v>
      </c>
      <c r="Q9" s="20">
        <f>'BREAKDOWN AHT'!AC10</f>
        <v>1193.6959321215684</v>
      </c>
      <c r="R9" s="20">
        <f>'BREAKDOWN AHT'!AD10</f>
        <v>836.72514660001548</v>
      </c>
      <c r="T9" s="23">
        <v>0.38541666666666669</v>
      </c>
      <c r="U9" s="18">
        <f>'BREAKDOWN SHRINKAGE'!X10</f>
        <v>0.14999999999999997</v>
      </c>
      <c r="V9" s="18">
        <f>'BREAKDOWN SHRINKAGE'!Y10</f>
        <v>0.15</v>
      </c>
      <c r="W9" s="18">
        <f>'BREAKDOWN SHRINKAGE'!Z10</f>
        <v>0.15</v>
      </c>
      <c r="X9" s="18">
        <f>'BREAKDOWN SHRINKAGE'!AA10</f>
        <v>0.15</v>
      </c>
      <c r="Y9" s="18">
        <f>'BREAKDOWN SHRINKAGE'!AB10</f>
        <v>0.15</v>
      </c>
      <c r="Z9" s="18">
        <f>'BREAKDOWN SHRINKAGE'!AC10</f>
        <v>0.15</v>
      </c>
      <c r="AA9" s="18">
        <f>'BREAKDOWN SHRINKAGE'!AD10</f>
        <v>0.15</v>
      </c>
      <c r="AC9" s="23">
        <v>0.38541666666666669</v>
      </c>
      <c r="AD9" s="25">
        <v>0.75</v>
      </c>
      <c r="AE9" s="25">
        <v>0.75</v>
      </c>
      <c r="AF9" s="25">
        <v>0.75</v>
      </c>
      <c r="AG9" s="25">
        <v>0.75</v>
      </c>
      <c r="AH9" s="25">
        <v>0.75</v>
      </c>
      <c r="AI9" s="25">
        <v>0.75</v>
      </c>
      <c r="AJ9" s="25">
        <v>0.75</v>
      </c>
      <c r="AL9" s="23">
        <v>0.38541666666666669</v>
      </c>
      <c r="AM9" s="4">
        <f t="shared" si="1"/>
        <v>22.873364664997371</v>
      </c>
      <c r="AN9" s="4">
        <f t="shared" si="2"/>
        <v>18.738476310077132</v>
      </c>
      <c r="AO9" s="4">
        <f t="shared" si="3"/>
        <v>34.629822896610058</v>
      </c>
      <c r="AP9" s="4">
        <f t="shared" si="4"/>
        <v>19.953623142183989</v>
      </c>
      <c r="AQ9" s="4">
        <f t="shared" si="5"/>
        <v>25.241662856338959</v>
      </c>
      <c r="AR9" s="4">
        <f t="shared" si="6"/>
        <v>18.957393759014014</v>
      </c>
      <c r="AS9" s="4">
        <f t="shared" si="7"/>
        <v>6.6308677720823539</v>
      </c>
      <c r="AU9" s="23"/>
    </row>
    <row r="10" spans="2:54" x14ac:dyDescent="0.3">
      <c r="B10" s="24">
        <v>0.39583333333333331</v>
      </c>
      <c r="C10" s="4">
        <f>'BREAKDOWN CALL VOLUME'!W11</f>
        <v>28.0459477565669</v>
      </c>
      <c r="D10" s="4">
        <f>'BREAKDOWN CALL VOLUME'!X11</f>
        <v>28.318768260035448</v>
      </c>
      <c r="E10" s="4">
        <f>'BREAKDOWN CALL VOLUME'!Y11</f>
        <v>29.297201792929474</v>
      </c>
      <c r="F10" s="4">
        <f>'BREAKDOWN CALL VOLUME'!Z11</f>
        <v>28.739159854016538</v>
      </c>
      <c r="G10" s="4">
        <f>'BREAKDOWN CALL VOLUME'!AA11</f>
        <v>27.009229843386407</v>
      </c>
      <c r="H10" s="4">
        <f>'BREAKDOWN CALL VOLUME'!AB11</f>
        <v>21.020487084320688</v>
      </c>
      <c r="I10" s="4">
        <f>'BREAKDOWN CALL VOLUME'!AC11</f>
        <v>13.679999531065842</v>
      </c>
      <c r="K10" s="23">
        <v>0.39583333333333331</v>
      </c>
      <c r="L10" s="20">
        <f>'BREAKDOWN AHT'!X11</f>
        <v>1247.481127658205</v>
      </c>
      <c r="M10" s="20">
        <f>'BREAKDOWN AHT'!Y11</f>
        <v>1157.040542735798</v>
      </c>
      <c r="N10" s="20">
        <f>'BREAKDOWN AHT'!Z11</f>
        <v>1080.5912959841689</v>
      </c>
      <c r="O10" s="20">
        <f>'BREAKDOWN AHT'!AA11</f>
        <v>1122.1819861630559</v>
      </c>
      <c r="P10" s="20">
        <f>'BREAKDOWN AHT'!AB11</f>
        <v>1177.6681834293593</v>
      </c>
      <c r="Q10" s="20">
        <f>'BREAKDOWN AHT'!AC11</f>
        <v>1410.8731247895466</v>
      </c>
      <c r="R10" s="20">
        <f>'BREAKDOWN AHT'!AD11</f>
        <v>756.82598084737253</v>
      </c>
      <c r="T10" s="23">
        <v>0.39583333333333331</v>
      </c>
      <c r="U10" s="18">
        <f>'BREAKDOWN SHRINKAGE'!X11</f>
        <v>0.14999999999999997</v>
      </c>
      <c r="V10" s="18">
        <f>'BREAKDOWN SHRINKAGE'!Y11</f>
        <v>0.15</v>
      </c>
      <c r="W10" s="18">
        <f>'BREAKDOWN SHRINKAGE'!Z11</f>
        <v>0.15</v>
      </c>
      <c r="X10" s="18">
        <f>'BREAKDOWN SHRINKAGE'!AA11</f>
        <v>0.15</v>
      </c>
      <c r="Y10" s="18">
        <f>'BREAKDOWN SHRINKAGE'!AB11</f>
        <v>0.15</v>
      </c>
      <c r="Z10" s="18">
        <f>'BREAKDOWN SHRINKAGE'!AC11</f>
        <v>0.15</v>
      </c>
      <c r="AA10" s="18">
        <f>'BREAKDOWN SHRINKAGE'!AD11</f>
        <v>0.15</v>
      </c>
      <c r="AC10" s="23">
        <v>0.39583333333333331</v>
      </c>
      <c r="AD10" s="25">
        <v>0.75</v>
      </c>
      <c r="AE10" s="25">
        <v>0.75</v>
      </c>
      <c r="AF10" s="25">
        <v>0.75</v>
      </c>
      <c r="AG10" s="25">
        <v>0.75</v>
      </c>
      <c r="AH10" s="25">
        <v>0.75</v>
      </c>
      <c r="AI10" s="25">
        <v>0.75</v>
      </c>
      <c r="AJ10" s="25">
        <v>0.75</v>
      </c>
      <c r="AL10" s="23">
        <v>0.39583333333333331</v>
      </c>
      <c r="AM10" s="4">
        <f t="shared" si="1"/>
        <v>25.916141136003834</v>
      </c>
      <c r="AN10" s="4">
        <f t="shared" si="2"/>
        <v>24.271083701630154</v>
      </c>
      <c r="AO10" s="4">
        <f t="shared" si="3"/>
        <v>23.450593521578799</v>
      </c>
      <c r="AP10" s="4">
        <f t="shared" si="4"/>
        <v>23.88930924862062</v>
      </c>
      <c r="AQ10" s="4">
        <f t="shared" si="5"/>
        <v>23.561415292953264</v>
      </c>
      <c r="AR10" s="4">
        <f t="shared" si="6"/>
        <v>21.968326146113952</v>
      </c>
      <c r="AS10" s="4">
        <f t="shared" si="7"/>
        <v>7.6691696763633352</v>
      </c>
      <c r="AU10" s="23"/>
    </row>
    <row r="11" spans="2:54" x14ac:dyDescent="0.3">
      <c r="B11" s="24">
        <v>0.40625</v>
      </c>
      <c r="C11" s="4">
        <f>'BREAKDOWN CALL VOLUME'!W12</f>
        <v>26.79097344061157</v>
      </c>
      <c r="D11" s="4">
        <f>'BREAKDOWN CALL VOLUME'!X12</f>
        <v>31.70174250304547</v>
      </c>
      <c r="E11" s="4">
        <f>'BREAKDOWN CALL VOLUME'!Y12</f>
        <v>30.971327609668297</v>
      </c>
      <c r="F11" s="4">
        <f>'BREAKDOWN CALL VOLUME'!Z12</f>
        <v>29.63202695627724</v>
      </c>
      <c r="G11" s="4">
        <f>'BREAKDOWN CALL VOLUME'!AA12</f>
        <v>27.065034037277702</v>
      </c>
      <c r="H11" s="4">
        <f>'BREAKDOWN CALL VOLUME'!AB12</f>
        <v>24.973057305304064</v>
      </c>
      <c r="I11" s="4">
        <f>'BREAKDOWN CALL VOLUME'!AC12</f>
        <v>11.458461145679085</v>
      </c>
      <c r="K11" s="23">
        <v>0.40625</v>
      </c>
      <c r="L11" s="20">
        <f>'BREAKDOWN AHT'!X12</f>
        <v>1667.8202170525435</v>
      </c>
      <c r="M11" s="20">
        <f>'BREAKDOWN AHT'!Y12</f>
        <v>1149.9730003378882</v>
      </c>
      <c r="N11" s="20">
        <f>'BREAKDOWN AHT'!Z12</f>
        <v>1061.9042347286781</v>
      </c>
      <c r="O11" s="20">
        <f>'BREAKDOWN AHT'!AA12</f>
        <v>1528.5057796157764</v>
      </c>
      <c r="P11" s="20">
        <f>'BREAKDOWN AHT'!AB12</f>
        <v>1171.7266562609468</v>
      </c>
      <c r="Q11" s="20">
        <f>'BREAKDOWN AHT'!AC12</f>
        <v>1029.5852018650155</v>
      </c>
      <c r="R11" s="20">
        <f>'BREAKDOWN AHT'!AD12</f>
        <v>1094.6305496966272</v>
      </c>
      <c r="T11" s="23">
        <v>0.40625</v>
      </c>
      <c r="U11" s="18">
        <f>'BREAKDOWN SHRINKAGE'!X12</f>
        <v>0.14999999999999997</v>
      </c>
      <c r="V11" s="18">
        <f>'BREAKDOWN SHRINKAGE'!Y12</f>
        <v>0.15</v>
      </c>
      <c r="W11" s="18">
        <f>'BREAKDOWN SHRINKAGE'!Z12</f>
        <v>0.15</v>
      </c>
      <c r="X11" s="18">
        <f>'BREAKDOWN SHRINKAGE'!AA12</f>
        <v>0.15</v>
      </c>
      <c r="Y11" s="18">
        <f>'BREAKDOWN SHRINKAGE'!AB12</f>
        <v>0.15</v>
      </c>
      <c r="Z11" s="18">
        <f>'BREAKDOWN SHRINKAGE'!AC12</f>
        <v>0.15</v>
      </c>
      <c r="AA11" s="18">
        <f>'BREAKDOWN SHRINKAGE'!AD12</f>
        <v>0.15</v>
      </c>
      <c r="AC11" s="23">
        <v>0.40625</v>
      </c>
      <c r="AD11" s="25">
        <v>0.75</v>
      </c>
      <c r="AE11" s="25">
        <v>0.75</v>
      </c>
      <c r="AF11" s="25">
        <v>0.75</v>
      </c>
      <c r="AG11" s="25">
        <v>0.75</v>
      </c>
      <c r="AH11" s="25">
        <v>0.75</v>
      </c>
      <c r="AI11" s="25">
        <v>0.75</v>
      </c>
      <c r="AJ11" s="25">
        <v>0.75</v>
      </c>
      <c r="AL11" s="23">
        <v>0.40625</v>
      </c>
      <c r="AM11" s="4">
        <f t="shared" si="1"/>
        <v>33.098168250940532</v>
      </c>
      <c r="AN11" s="4">
        <f t="shared" si="2"/>
        <v>27.004554031234335</v>
      </c>
      <c r="AO11" s="4">
        <f t="shared" si="3"/>
        <v>24.361914032500735</v>
      </c>
      <c r="AP11" s="4">
        <f t="shared" si="4"/>
        <v>33.550166269926102</v>
      </c>
      <c r="AQ11" s="4">
        <f t="shared" si="5"/>
        <v>23.490979136361567</v>
      </c>
      <c r="AR11" s="4">
        <f t="shared" si="6"/>
        <v>19.045844627309695</v>
      </c>
      <c r="AS11" s="4">
        <f t="shared" si="7"/>
        <v>9.2909493500534381</v>
      </c>
      <c r="AU11" s="23"/>
    </row>
    <row r="12" spans="2:54" x14ac:dyDescent="0.3">
      <c r="B12" s="24">
        <v>0.41666666666666669</v>
      </c>
      <c r="C12" s="4">
        <f>'BREAKDOWN CALL VOLUME'!W13</f>
        <v>31.647178402351752</v>
      </c>
      <c r="D12" s="4">
        <f>'BREAKDOWN CALL VOLUME'!X13</f>
        <v>35.848614155767422</v>
      </c>
      <c r="E12" s="4">
        <f>'BREAKDOWN CALL VOLUME'!Y13</f>
        <v>32.533845038624541</v>
      </c>
      <c r="F12" s="4">
        <f>'BREAKDOWN CALL VOLUME'!Z13</f>
        <v>32.757061814189719</v>
      </c>
      <c r="G12" s="4">
        <f>'BREAKDOWN CALL VOLUME'!AA13</f>
        <v>31.13874019134218</v>
      </c>
      <c r="H12" s="4">
        <f>'BREAKDOWN CALL VOLUME'!AB13</f>
        <v>26.829567560614439</v>
      </c>
      <c r="I12" s="4">
        <f>'BREAKDOWN CALL VOLUME'!AC13</f>
        <v>14.439999505013947</v>
      </c>
      <c r="K12" s="23">
        <v>0.41666666666666669</v>
      </c>
      <c r="L12" s="20">
        <f>'BREAKDOWN AHT'!X13</f>
        <v>961.18576611575145</v>
      </c>
      <c r="M12" s="20">
        <f>'BREAKDOWN AHT'!Y13</f>
        <v>1014.2522285271768</v>
      </c>
      <c r="N12" s="20">
        <f>'BREAKDOWN AHT'!Z13</f>
        <v>908.95782568373909</v>
      </c>
      <c r="O12" s="20">
        <f>'BREAKDOWN AHT'!AA13</f>
        <v>1042.6421869730186</v>
      </c>
      <c r="P12" s="20">
        <f>'BREAKDOWN AHT'!AB13</f>
        <v>1204.980042187384</v>
      </c>
      <c r="Q12" s="20">
        <f>'BREAKDOWN AHT'!AC13</f>
        <v>885.11984369756817</v>
      </c>
      <c r="R12" s="20">
        <f>'BREAKDOWN AHT'!AD13</f>
        <v>1353.3744747726521</v>
      </c>
      <c r="T12" s="23">
        <v>0.41666666666666669</v>
      </c>
      <c r="U12" s="18">
        <f>'BREAKDOWN SHRINKAGE'!X13</f>
        <v>0.14999999999999997</v>
      </c>
      <c r="V12" s="18">
        <f>'BREAKDOWN SHRINKAGE'!Y13</f>
        <v>0.15</v>
      </c>
      <c r="W12" s="18">
        <f>'BREAKDOWN SHRINKAGE'!Z13</f>
        <v>0.15</v>
      </c>
      <c r="X12" s="18">
        <f>'BREAKDOWN SHRINKAGE'!AA13</f>
        <v>0.15</v>
      </c>
      <c r="Y12" s="18">
        <f>'BREAKDOWN SHRINKAGE'!AB13</f>
        <v>0.15</v>
      </c>
      <c r="Z12" s="18">
        <f>'BREAKDOWN SHRINKAGE'!AC13</f>
        <v>0.15</v>
      </c>
      <c r="AA12" s="18">
        <f>'BREAKDOWN SHRINKAGE'!AD13</f>
        <v>0.15</v>
      </c>
      <c r="AC12" s="23">
        <v>0.41666666666666669</v>
      </c>
      <c r="AD12" s="25">
        <v>0.75</v>
      </c>
      <c r="AE12" s="25">
        <v>0.75</v>
      </c>
      <c r="AF12" s="25">
        <v>0.75</v>
      </c>
      <c r="AG12" s="25">
        <v>0.75</v>
      </c>
      <c r="AH12" s="25">
        <v>0.75</v>
      </c>
      <c r="AI12" s="25">
        <v>0.75</v>
      </c>
      <c r="AJ12" s="25">
        <v>0.75</v>
      </c>
      <c r="AL12" s="23">
        <v>0.41666666666666669</v>
      </c>
      <c r="AM12" s="4">
        <f t="shared" si="1"/>
        <v>22.532457346715802</v>
      </c>
      <c r="AN12" s="4">
        <f t="shared" si="2"/>
        <v>26.932990220072597</v>
      </c>
      <c r="AO12" s="4">
        <f t="shared" si="3"/>
        <v>21.905105961066567</v>
      </c>
      <c r="AP12" s="4">
        <f t="shared" si="4"/>
        <v>25.299181162042316</v>
      </c>
      <c r="AQ12" s="4">
        <f t="shared" si="5"/>
        <v>27.79374849587073</v>
      </c>
      <c r="AR12" s="4">
        <f t="shared" si="6"/>
        <v>17.590653811647702</v>
      </c>
      <c r="AS12" s="4">
        <f t="shared" si="7"/>
        <v>14.476093885789338</v>
      </c>
      <c r="AU12" s="23"/>
    </row>
    <row r="13" spans="2:54" x14ac:dyDescent="0.3">
      <c r="B13" s="24">
        <v>0.42708333333333331</v>
      </c>
      <c r="C13" s="4">
        <f>'BREAKDOWN CALL VOLUME'!W14</f>
        <v>32.738460416225955</v>
      </c>
      <c r="D13" s="4">
        <f>'BREAKDOWN CALL VOLUME'!X14</f>
        <v>32.138255308595149</v>
      </c>
      <c r="E13" s="4">
        <f>'BREAKDOWN CALL VOLUME'!Y14</f>
        <v>33.091886977537484</v>
      </c>
      <c r="F13" s="4">
        <f>'BREAKDOWN CALL VOLUME'!Z14</f>
        <v>33.259299559211364</v>
      </c>
      <c r="G13" s="4">
        <f>'BREAKDOWN CALL VOLUME'!AA14</f>
        <v>30.357481476864063</v>
      </c>
      <c r="H13" s="4">
        <f>'BREAKDOWN CALL VOLUME'!AB14</f>
        <v>29.16517723665007</v>
      </c>
      <c r="I13" s="4">
        <f>'BREAKDOWN CALL VOLUME'!AC14</f>
        <v>14.849230260216769</v>
      </c>
      <c r="K13" s="23">
        <v>0.42708333333333331</v>
      </c>
      <c r="L13" s="20">
        <f>'BREAKDOWN AHT'!X14</f>
        <v>1081.2141980260185</v>
      </c>
      <c r="M13" s="20">
        <f>'BREAKDOWN AHT'!Y14</f>
        <v>1203.8779847287267</v>
      </c>
      <c r="N13" s="20">
        <f>'BREAKDOWN AHT'!Z14</f>
        <v>1502.2480627747277</v>
      </c>
      <c r="O13" s="20">
        <f>'BREAKDOWN AHT'!AA14</f>
        <v>1473.8820620997269</v>
      </c>
      <c r="P13" s="20">
        <f>'BREAKDOWN AHT'!AB14</f>
        <v>1420.4083175840151</v>
      </c>
      <c r="Q13" s="20">
        <f>'BREAKDOWN AHT'!AC14</f>
        <v>1153.0875105471366</v>
      </c>
      <c r="R13" s="20">
        <f>'BREAKDOWN AHT'!AD14</f>
        <v>777.78903033269876</v>
      </c>
      <c r="T13" s="23">
        <v>0.42708333333333331</v>
      </c>
      <c r="U13" s="18">
        <f>'BREAKDOWN SHRINKAGE'!X14</f>
        <v>0.14999999999999997</v>
      </c>
      <c r="V13" s="18">
        <f>'BREAKDOWN SHRINKAGE'!Y14</f>
        <v>0.15</v>
      </c>
      <c r="W13" s="18">
        <f>'BREAKDOWN SHRINKAGE'!Z14</f>
        <v>0.15</v>
      </c>
      <c r="X13" s="18">
        <f>'BREAKDOWN SHRINKAGE'!AA14</f>
        <v>0.15</v>
      </c>
      <c r="Y13" s="18">
        <f>'BREAKDOWN SHRINKAGE'!AB14</f>
        <v>0.15</v>
      </c>
      <c r="Z13" s="18">
        <f>'BREAKDOWN SHRINKAGE'!AC14</f>
        <v>0.15</v>
      </c>
      <c r="AA13" s="18">
        <f>'BREAKDOWN SHRINKAGE'!AD14</f>
        <v>0.15</v>
      </c>
      <c r="AC13" s="23">
        <v>0.42708333333333331</v>
      </c>
      <c r="AD13" s="25">
        <v>0.75</v>
      </c>
      <c r="AE13" s="25">
        <v>0.75</v>
      </c>
      <c r="AF13" s="25">
        <v>0.75</v>
      </c>
      <c r="AG13" s="25">
        <v>0.75</v>
      </c>
      <c r="AH13" s="25">
        <v>0.75</v>
      </c>
      <c r="AI13" s="25">
        <v>0.75</v>
      </c>
      <c r="AJ13" s="25">
        <v>0.75</v>
      </c>
      <c r="AL13" s="23">
        <v>0.42708333333333331</v>
      </c>
      <c r="AM13" s="4">
        <f t="shared" si="1"/>
        <v>26.220213498915779</v>
      </c>
      <c r="AN13" s="4">
        <f t="shared" si="2"/>
        <v>28.659657802673205</v>
      </c>
      <c r="AO13" s="4">
        <f t="shared" si="3"/>
        <v>36.823868967085872</v>
      </c>
      <c r="AP13" s="4">
        <f t="shared" si="4"/>
        <v>36.311322235794805</v>
      </c>
      <c r="AQ13" s="4">
        <f t="shared" si="5"/>
        <v>31.940754956029917</v>
      </c>
      <c r="AR13" s="4">
        <f t="shared" si="6"/>
        <v>24.911112307018403</v>
      </c>
      <c r="AS13" s="4">
        <f t="shared" si="7"/>
        <v>8.5552358557636801</v>
      </c>
      <c r="AU13" s="23"/>
    </row>
    <row r="14" spans="2:54" x14ac:dyDescent="0.3">
      <c r="B14" s="24">
        <v>0.4375</v>
      </c>
      <c r="C14" s="4">
        <f>'BREAKDOWN CALL VOLUME'!W15</f>
        <v>31.046973294720946</v>
      </c>
      <c r="D14" s="4">
        <f>'BREAKDOWN CALL VOLUME'!X15</f>
        <v>33.666050128019016</v>
      </c>
      <c r="E14" s="4">
        <f>'BREAKDOWN CALL VOLUME'!Y15</f>
        <v>38.337481203319143</v>
      </c>
      <c r="F14" s="4">
        <f>'BREAKDOWN CALL VOLUME'!Z15</f>
        <v>32.533845038624541</v>
      </c>
      <c r="G14" s="4">
        <f>'BREAKDOWN CALL VOLUME'!AA15</f>
        <v>31.13874019134218</v>
      </c>
      <c r="H14" s="4">
        <f>'BREAKDOWN CALL VOLUME'!AB15</f>
        <v>27.907541257246269</v>
      </c>
      <c r="I14" s="4">
        <f>'BREAKDOWN CALL VOLUME'!AC15</f>
        <v>12.919999557117739</v>
      </c>
      <c r="K14" s="23">
        <v>0.4375</v>
      </c>
      <c r="L14" s="20">
        <f>'BREAKDOWN AHT'!X15</f>
        <v>1359.3639174827454</v>
      </c>
      <c r="M14" s="20">
        <f>'BREAKDOWN AHT'!Y15</f>
        <v>1262.4547344334376</v>
      </c>
      <c r="N14" s="20">
        <f>'BREAKDOWN AHT'!Z15</f>
        <v>1146.5230813368746</v>
      </c>
      <c r="O14" s="20">
        <f>'BREAKDOWN AHT'!AA15</f>
        <v>1075.128924232564</v>
      </c>
      <c r="P14" s="20">
        <f>'BREAKDOWN AHT'!AB15</f>
        <v>1044.65463972361</v>
      </c>
      <c r="Q14" s="20">
        <f>'BREAKDOWN AHT'!AC15</f>
        <v>1267.485866309916</v>
      </c>
      <c r="R14" s="20">
        <f>'BREAKDOWN AHT'!AD15</f>
        <v>1548.1511517048821</v>
      </c>
      <c r="T14" s="23">
        <v>0.4375</v>
      </c>
      <c r="U14" s="18">
        <f>'BREAKDOWN SHRINKAGE'!X15</f>
        <v>0.14999999999999997</v>
      </c>
      <c r="V14" s="18">
        <f>'BREAKDOWN SHRINKAGE'!Y15</f>
        <v>0.15</v>
      </c>
      <c r="W14" s="18">
        <f>'BREAKDOWN SHRINKAGE'!Z15</f>
        <v>0.15</v>
      </c>
      <c r="X14" s="18">
        <f>'BREAKDOWN SHRINKAGE'!AA15</f>
        <v>0.15</v>
      </c>
      <c r="Y14" s="18">
        <f>'BREAKDOWN SHRINKAGE'!AB15</f>
        <v>0.15</v>
      </c>
      <c r="Z14" s="18">
        <f>'BREAKDOWN SHRINKAGE'!AC15</f>
        <v>0.15</v>
      </c>
      <c r="AA14" s="18">
        <f>'BREAKDOWN SHRINKAGE'!AD15</f>
        <v>0.15</v>
      </c>
      <c r="AC14" s="23">
        <v>0.4375</v>
      </c>
      <c r="AD14" s="25">
        <v>0.75</v>
      </c>
      <c r="AE14" s="25">
        <v>0.75</v>
      </c>
      <c r="AF14" s="25">
        <v>0.75</v>
      </c>
      <c r="AG14" s="25">
        <v>0.75</v>
      </c>
      <c r="AH14" s="25">
        <v>0.75</v>
      </c>
      <c r="AI14" s="25">
        <v>0.75</v>
      </c>
      <c r="AJ14" s="25">
        <v>0.75</v>
      </c>
      <c r="AL14" s="23">
        <v>0.4375</v>
      </c>
      <c r="AM14" s="4">
        <f t="shared" si="1"/>
        <v>31.262322402884479</v>
      </c>
      <c r="AN14" s="4">
        <f t="shared" si="2"/>
        <v>31.482862499104478</v>
      </c>
      <c r="AO14" s="4">
        <f t="shared" si="3"/>
        <v>32.559116355499242</v>
      </c>
      <c r="AP14" s="4">
        <f t="shared" si="4"/>
        <v>25.909687272240994</v>
      </c>
      <c r="AQ14" s="4">
        <f t="shared" si="5"/>
        <v>24.095725493358266</v>
      </c>
      <c r="AR14" s="4">
        <f t="shared" si="6"/>
        <v>26.201788227422597</v>
      </c>
      <c r="AS14" s="4">
        <f t="shared" si="7"/>
        <v>14.816379403243255</v>
      </c>
      <c r="AU14" s="23"/>
    </row>
    <row r="15" spans="2:54" x14ac:dyDescent="0.3">
      <c r="B15" s="24">
        <v>0.44791666666666669</v>
      </c>
      <c r="C15" s="4">
        <f>'BREAKDOWN CALL VOLUME'!W16</f>
        <v>32.411075812063693</v>
      </c>
      <c r="D15" s="4">
        <f>'BREAKDOWN CALL VOLUME'!X16</f>
        <v>36.612511565479359</v>
      </c>
      <c r="E15" s="4">
        <f>'BREAKDOWN CALL VOLUME'!Y16</f>
        <v>35.268250539297959</v>
      </c>
      <c r="F15" s="4">
        <f>'BREAKDOWN CALL VOLUME'!Z16</f>
        <v>31.361956966907361</v>
      </c>
      <c r="G15" s="4">
        <f>'BREAKDOWN CALL VOLUME'!AA16</f>
        <v>30.245873089081474</v>
      </c>
      <c r="H15" s="4">
        <f>'BREAKDOWN CALL VOLUME'!AB16</f>
        <v>28.326753250380868</v>
      </c>
      <c r="I15" s="4">
        <f>'BREAKDOWN CALL VOLUME'!AC16</f>
        <v>14.381537968556399</v>
      </c>
      <c r="K15" s="23">
        <v>0.44791666666666669</v>
      </c>
      <c r="L15" s="20">
        <f>'BREAKDOWN AHT'!X16</f>
        <v>1356.8483515445062</v>
      </c>
      <c r="M15" s="20">
        <f>'BREAKDOWN AHT'!Y16</f>
        <v>1036.2933777003198</v>
      </c>
      <c r="N15" s="20">
        <f>'BREAKDOWN AHT'!Z16</f>
        <v>1212.3590356062186</v>
      </c>
      <c r="O15" s="20">
        <f>'BREAKDOWN AHT'!AA16</f>
        <v>1214.946474856979</v>
      </c>
      <c r="P15" s="20">
        <f>'BREAKDOWN AHT'!AB16</f>
        <v>1162.1435479247975</v>
      </c>
      <c r="Q15" s="20">
        <f>'BREAKDOWN AHT'!AC16</f>
        <v>1177.8838033669222</v>
      </c>
      <c r="R15" s="20">
        <f>'BREAKDOWN AHT'!AD16</f>
        <v>1006.8253195666614</v>
      </c>
      <c r="T15" s="23">
        <v>0.44791666666666669</v>
      </c>
      <c r="U15" s="18">
        <f>'BREAKDOWN SHRINKAGE'!X16</f>
        <v>0.14999999999999997</v>
      </c>
      <c r="V15" s="18">
        <f>'BREAKDOWN SHRINKAGE'!Y16</f>
        <v>0.15</v>
      </c>
      <c r="W15" s="18">
        <f>'BREAKDOWN SHRINKAGE'!Z16</f>
        <v>0.15</v>
      </c>
      <c r="X15" s="18">
        <f>'BREAKDOWN SHRINKAGE'!AA16</f>
        <v>0.15</v>
      </c>
      <c r="Y15" s="18">
        <f>'BREAKDOWN SHRINKAGE'!AB16</f>
        <v>0.15</v>
      </c>
      <c r="Z15" s="18">
        <f>'BREAKDOWN SHRINKAGE'!AC16</f>
        <v>0.15</v>
      </c>
      <c r="AA15" s="18">
        <f>'BREAKDOWN SHRINKAGE'!AD16</f>
        <v>0.15</v>
      </c>
      <c r="AC15" s="23">
        <v>0.44791666666666669</v>
      </c>
      <c r="AD15" s="25">
        <v>0.75</v>
      </c>
      <c r="AE15" s="25">
        <v>0.75</v>
      </c>
      <c r="AF15" s="25">
        <v>0.75</v>
      </c>
      <c r="AG15" s="25">
        <v>0.75</v>
      </c>
      <c r="AH15" s="25">
        <v>0.75</v>
      </c>
      <c r="AI15" s="25">
        <v>0.75</v>
      </c>
      <c r="AJ15" s="25">
        <v>0.75</v>
      </c>
      <c r="AL15" s="23">
        <v>0.44791666666666669</v>
      </c>
      <c r="AM15" s="4">
        <f t="shared" si="1"/>
        <v>32.575492435098248</v>
      </c>
      <c r="AN15" s="4">
        <f t="shared" si="2"/>
        <v>28.104669093542686</v>
      </c>
      <c r="AO15" s="4">
        <f t="shared" si="3"/>
        <v>31.672431267660571</v>
      </c>
      <c r="AP15" s="4">
        <f t="shared" si="4"/>
        <v>28.224517823378054</v>
      </c>
      <c r="AQ15" s="4">
        <f t="shared" si="5"/>
        <v>26.037071305057999</v>
      </c>
      <c r="AR15" s="4">
        <f t="shared" si="6"/>
        <v>24.715276930070324</v>
      </c>
      <c r="AS15" s="4">
        <f t="shared" si="7"/>
        <v>10.725701156334718</v>
      </c>
      <c r="AU15" s="23"/>
    </row>
    <row r="16" spans="2:54" x14ac:dyDescent="0.3">
      <c r="B16" s="24">
        <v>0.45833333333333331</v>
      </c>
      <c r="C16" s="4">
        <f>'BREAKDOWN CALL VOLUME'!W17</f>
        <v>39.340716600164853</v>
      </c>
      <c r="D16" s="4">
        <f>'BREAKDOWN CALL VOLUME'!X17</f>
        <v>42.723690843174865</v>
      </c>
      <c r="E16" s="4">
        <f>'BREAKDOWN CALL VOLUME'!Y17</f>
        <v>50.502795471621283</v>
      </c>
      <c r="F16" s="4">
        <f>'BREAKDOWN CALL VOLUME'!Z17</f>
        <v>38.114264427753966</v>
      </c>
      <c r="G16" s="4">
        <f>'BREAKDOWN CALL VOLUME'!AA17</f>
        <v>41.518320255122909</v>
      </c>
      <c r="H16" s="4">
        <f>'BREAKDOWN CALL VOLUME'!AB17</f>
        <v>31.261237202323073</v>
      </c>
      <c r="I16" s="4">
        <f>'BREAKDOWN CALL VOLUME'!AC17</f>
        <v>17.246153254976171</v>
      </c>
      <c r="K16" s="23">
        <v>0.45833333333333331</v>
      </c>
      <c r="L16" s="20">
        <f>'BREAKDOWN AHT'!X17</f>
        <v>1181.9566244097855</v>
      </c>
      <c r="M16" s="20">
        <f>'BREAKDOWN AHT'!Y17</f>
        <v>934.47285162873595</v>
      </c>
      <c r="N16" s="20">
        <f>'BREAKDOWN AHT'!Z17</f>
        <v>926.68657610561479</v>
      </c>
      <c r="O16" s="20">
        <f>'BREAKDOWN AHT'!AA17</f>
        <v>1076.7580526497093</v>
      </c>
      <c r="P16" s="20">
        <f>'BREAKDOWN AHT'!AB17</f>
        <v>992.04337495815162</v>
      </c>
      <c r="Q16" s="20">
        <f>'BREAKDOWN AHT'!AC17</f>
        <v>1094.7503385508292</v>
      </c>
      <c r="R16" s="20">
        <f>'BREAKDOWN AHT'!AD17</f>
        <v>990.77361310361175</v>
      </c>
      <c r="T16" s="23">
        <v>0.45833333333333331</v>
      </c>
      <c r="U16" s="18">
        <f>'BREAKDOWN SHRINKAGE'!X17</f>
        <v>0.14999999999999997</v>
      </c>
      <c r="V16" s="18">
        <f>'BREAKDOWN SHRINKAGE'!Y17</f>
        <v>0.15</v>
      </c>
      <c r="W16" s="18">
        <f>'BREAKDOWN SHRINKAGE'!Z17</f>
        <v>0.15</v>
      </c>
      <c r="X16" s="18">
        <f>'BREAKDOWN SHRINKAGE'!AA17</f>
        <v>0.15</v>
      </c>
      <c r="Y16" s="18">
        <f>'BREAKDOWN SHRINKAGE'!AB17</f>
        <v>0.15</v>
      </c>
      <c r="Z16" s="18">
        <f>'BREAKDOWN SHRINKAGE'!AC17</f>
        <v>0.15</v>
      </c>
      <c r="AA16" s="18">
        <f>'BREAKDOWN SHRINKAGE'!AD17</f>
        <v>0.15</v>
      </c>
      <c r="AC16" s="23">
        <v>0.45833333333333331</v>
      </c>
      <c r="AD16" s="25">
        <v>0.75</v>
      </c>
      <c r="AE16" s="25">
        <v>0.75</v>
      </c>
      <c r="AF16" s="25">
        <v>0.75</v>
      </c>
      <c r="AG16" s="25">
        <v>0.75</v>
      </c>
      <c r="AH16" s="25">
        <v>0.75</v>
      </c>
      <c r="AI16" s="25">
        <v>0.75</v>
      </c>
      <c r="AJ16" s="25">
        <v>0.75</v>
      </c>
      <c r="AL16" s="23">
        <v>0.45833333333333331</v>
      </c>
      <c r="AM16" s="4">
        <f t="shared" si="1"/>
        <v>34.443718958957675</v>
      </c>
      <c r="AN16" s="4">
        <f t="shared" si="2"/>
        <v>29.573429047648986</v>
      </c>
      <c r="AO16" s="4">
        <f t="shared" si="3"/>
        <v>34.666861199525094</v>
      </c>
      <c r="AP16" s="4">
        <f t="shared" si="4"/>
        <v>30.399882328447738</v>
      </c>
      <c r="AQ16" s="4">
        <f t="shared" si="5"/>
        <v>30.509610776655936</v>
      </c>
      <c r="AR16" s="4">
        <f t="shared" si="6"/>
        <v>25.350555563526637</v>
      </c>
      <c r="AS16" s="4">
        <f t="shared" si="7"/>
        <v>12.657061905608412</v>
      </c>
      <c r="AU16" s="23"/>
    </row>
    <row r="17" spans="2:47" x14ac:dyDescent="0.3">
      <c r="B17" s="24">
        <v>0.46875</v>
      </c>
      <c r="C17" s="4">
        <f>'BREAKDOWN CALL VOLUME'!W18</f>
        <v>38.631383291146619</v>
      </c>
      <c r="D17" s="4">
        <f>'BREAKDOWN CALL VOLUME'!X18</f>
        <v>40.650255016813901</v>
      </c>
      <c r="E17" s="4">
        <f>'BREAKDOWN CALL VOLUME'!Y18</f>
        <v>42.857620908513972</v>
      </c>
      <c r="F17" s="4">
        <f>'BREAKDOWN CALL VOLUME'!Z18</f>
        <v>37.891047652188789</v>
      </c>
      <c r="G17" s="4">
        <f>'BREAKDOWN CALL VOLUME'!AA18</f>
        <v>38.504893784993023</v>
      </c>
      <c r="H17" s="4">
        <f>'BREAKDOWN CALL VOLUME'!AB18</f>
        <v>32.399098326545563</v>
      </c>
      <c r="I17" s="4">
        <f>'BREAKDOWN CALL VOLUME'!AC18</f>
        <v>17.538460937263903</v>
      </c>
      <c r="K17" s="23">
        <v>0.46875</v>
      </c>
      <c r="L17" s="20">
        <f>'BREAKDOWN AHT'!X18</f>
        <v>961.54513267835716</v>
      </c>
      <c r="M17" s="20">
        <f>'BREAKDOWN AHT'!Y18</f>
        <v>1051.5065621839565</v>
      </c>
      <c r="N17" s="20">
        <f>'BREAKDOWN AHT'!Z18</f>
        <v>1394.054769659605</v>
      </c>
      <c r="O17" s="20">
        <f>'BREAKDOWN AHT'!AA18</f>
        <v>1152.9437639220944</v>
      </c>
      <c r="P17" s="20">
        <f>'BREAKDOWN AHT'!AB18</f>
        <v>1232.5793941954933</v>
      </c>
      <c r="Q17" s="20">
        <f>'BREAKDOWN AHT'!AC18</f>
        <v>1120.2653644958259</v>
      </c>
      <c r="R17" s="20">
        <f>'BREAKDOWN AHT'!AD18</f>
        <v>1148.415745233264</v>
      </c>
      <c r="T17" s="23">
        <v>0.46875</v>
      </c>
      <c r="U17" s="18">
        <f>'BREAKDOWN SHRINKAGE'!X18</f>
        <v>0.14999999999999997</v>
      </c>
      <c r="V17" s="18">
        <f>'BREAKDOWN SHRINKAGE'!Y18</f>
        <v>0.15</v>
      </c>
      <c r="W17" s="18">
        <f>'BREAKDOWN SHRINKAGE'!Z18</f>
        <v>0.15</v>
      </c>
      <c r="X17" s="18">
        <f>'BREAKDOWN SHRINKAGE'!AA18</f>
        <v>0.15</v>
      </c>
      <c r="Y17" s="18">
        <f>'BREAKDOWN SHRINKAGE'!AB18</f>
        <v>0.15</v>
      </c>
      <c r="Z17" s="18">
        <f>'BREAKDOWN SHRINKAGE'!AC18</f>
        <v>0.15</v>
      </c>
      <c r="AA17" s="18">
        <f>'BREAKDOWN SHRINKAGE'!AD18</f>
        <v>0.15</v>
      </c>
      <c r="AC17" s="23">
        <v>0.46875</v>
      </c>
      <c r="AD17" s="25">
        <v>0.75</v>
      </c>
      <c r="AE17" s="25">
        <v>0.75</v>
      </c>
      <c r="AF17" s="25">
        <v>0.75</v>
      </c>
      <c r="AG17" s="25">
        <v>0.75</v>
      </c>
      <c r="AH17" s="25">
        <v>0.75</v>
      </c>
      <c r="AI17" s="25">
        <v>0.75</v>
      </c>
      <c r="AJ17" s="25">
        <v>0.75</v>
      </c>
      <c r="AL17" s="23">
        <v>0.46875</v>
      </c>
      <c r="AM17" s="4">
        <f t="shared" si="1"/>
        <v>27.515421164617816</v>
      </c>
      <c r="AN17" s="4">
        <f t="shared" si="2"/>
        <v>31.662229558986013</v>
      </c>
      <c r="AO17" s="4">
        <f t="shared" si="3"/>
        <v>44.256200625020085</v>
      </c>
      <c r="AP17" s="4">
        <f t="shared" si="4"/>
        <v>32.36018303634517</v>
      </c>
      <c r="AQ17" s="4">
        <f t="shared" si="5"/>
        <v>35.155806411161862</v>
      </c>
      <c r="AR17" s="4">
        <f t="shared" si="6"/>
        <v>26.885620515647158</v>
      </c>
      <c r="AS17" s="4">
        <f t="shared" si="7"/>
        <v>14.919588657416604</v>
      </c>
      <c r="AU17" s="23"/>
    </row>
    <row r="18" spans="2:47" x14ac:dyDescent="0.3">
      <c r="B18" s="24">
        <v>0.47916666666666669</v>
      </c>
      <c r="C18" s="4">
        <f>'BREAKDOWN CALL VOLUME'!W19</f>
        <v>39.340716600164853</v>
      </c>
      <c r="D18" s="4">
        <f>'BREAKDOWN CALL VOLUME'!X19</f>
        <v>41.468716527219541</v>
      </c>
      <c r="E18" s="4">
        <f>'BREAKDOWN CALL VOLUME'!Y19</f>
        <v>42.076362194035859</v>
      </c>
      <c r="F18" s="4">
        <f>'BREAKDOWN CALL VOLUME'!Z19</f>
        <v>38.337481203319143</v>
      </c>
      <c r="G18" s="4">
        <f>'BREAKDOWN CALL VOLUME'!AA19</f>
        <v>35.937900865993484</v>
      </c>
      <c r="H18" s="4">
        <f>'BREAKDOWN CALL VOLUME'!AB19</f>
        <v>31.261237202323073</v>
      </c>
      <c r="I18" s="4">
        <f>'BREAKDOWN CALL VOLUME'!AC19</f>
        <v>17.187691718518625</v>
      </c>
      <c r="K18" s="23">
        <v>0.47916666666666669</v>
      </c>
      <c r="L18" s="20">
        <f>'BREAKDOWN AHT'!X19</f>
        <v>1068.9957348974285</v>
      </c>
      <c r="M18" s="20">
        <f>'BREAKDOWN AHT'!Y19</f>
        <v>881.64596692571422</v>
      </c>
      <c r="N18" s="20">
        <f>'BREAKDOWN AHT'!Z19</f>
        <v>1112.6947089102682</v>
      </c>
      <c r="O18" s="20">
        <f>'BREAKDOWN AHT'!AA19</f>
        <v>1190.8928729332449</v>
      </c>
      <c r="P18" s="20">
        <f>'BREAKDOWN AHT'!AB19</f>
        <v>1451.6492507598609</v>
      </c>
      <c r="Q18" s="20">
        <f>'BREAKDOWN AHT'!AC19</f>
        <v>1305.5787219461085</v>
      </c>
      <c r="R18" s="20">
        <f>'BREAKDOWN AHT'!AD19</f>
        <v>1463.4604317841645</v>
      </c>
      <c r="T18" s="23">
        <v>0.47916666666666669</v>
      </c>
      <c r="U18" s="18">
        <f>'BREAKDOWN SHRINKAGE'!X19</f>
        <v>0.14999999999999997</v>
      </c>
      <c r="V18" s="18">
        <f>'BREAKDOWN SHRINKAGE'!Y19</f>
        <v>0.15</v>
      </c>
      <c r="W18" s="18">
        <f>'BREAKDOWN SHRINKAGE'!Z19</f>
        <v>0.15</v>
      </c>
      <c r="X18" s="18">
        <f>'BREAKDOWN SHRINKAGE'!AA19</f>
        <v>0.15</v>
      </c>
      <c r="Y18" s="18">
        <f>'BREAKDOWN SHRINKAGE'!AB19</f>
        <v>0.15</v>
      </c>
      <c r="Z18" s="18">
        <f>'BREAKDOWN SHRINKAGE'!AC19</f>
        <v>0.15</v>
      </c>
      <c r="AA18" s="18">
        <f>'BREAKDOWN SHRINKAGE'!AD19</f>
        <v>0.15</v>
      </c>
      <c r="AC18" s="23">
        <v>0.47916666666666669</v>
      </c>
      <c r="AD18" s="25">
        <v>0.75</v>
      </c>
      <c r="AE18" s="25">
        <v>0.75</v>
      </c>
      <c r="AF18" s="25">
        <v>0.75</v>
      </c>
      <c r="AG18" s="25">
        <v>0.75</v>
      </c>
      <c r="AH18" s="25">
        <v>0.75</v>
      </c>
      <c r="AI18" s="25">
        <v>0.75</v>
      </c>
      <c r="AJ18" s="25">
        <v>0.75</v>
      </c>
      <c r="AL18" s="23">
        <v>0.47916666666666669</v>
      </c>
      <c r="AM18" s="4">
        <f t="shared" si="1"/>
        <v>31.151895002507178</v>
      </c>
      <c r="AN18" s="4">
        <f t="shared" si="2"/>
        <v>27.082019762821346</v>
      </c>
      <c r="AO18" s="4">
        <f t="shared" si="3"/>
        <v>34.68010783962648</v>
      </c>
      <c r="AP18" s="4">
        <f t="shared" si="4"/>
        <v>33.819135652774079</v>
      </c>
      <c r="AQ18" s="4">
        <f t="shared" si="5"/>
        <v>38.643871752593775</v>
      </c>
      <c r="AR18" s="4">
        <f t="shared" si="6"/>
        <v>30.232597120787482</v>
      </c>
      <c r="AS18" s="4">
        <f t="shared" si="7"/>
        <v>18.632227217597315</v>
      </c>
      <c r="AU18" s="23"/>
    </row>
    <row r="19" spans="2:47" x14ac:dyDescent="0.3">
      <c r="B19" s="24">
        <v>0.48958333333333331</v>
      </c>
      <c r="C19" s="4">
        <f>'BREAKDOWN CALL VOLUME'!W20</f>
        <v>36.394255162704518</v>
      </c>
      <c r="D19" s="4">
        <f>'BREAKDOWN CALL VOLUME'!X20</f>
        <v>41.2504601244447</v>
      </c>
      <c r="E19" s="4">
        <f>'BREAKDOWN CALL VOLUME'!Y20</f>
        <v>42.411187357383625</v>
      </c>
      <c r="F19" s="4">
        <f>'BREAKDOWN CALL VOLUME'!Z20</f>
        <v>35.435663120971839</v>
      </c>
      <c r="G19" s="4">
        <f>'BREAKDOWN CALL VOLUME'!AA20</f>
        <v>32.701257620298421</v>
      </c>
      <c r="H19" s="4">
        <f>'BREAKDOWN CALL VOLUME'!AB20</f>
        <v>29.464614374603354</v>
      </c>
      <c r="I19" s="4">
        <f>'BREAKDOWN CALL VOLUME'!AC20</f>
        <v>18.064614765381819</v>
      </c>
      <c r="K19" s="23">
        <v>0.48958333333333331</v>
      </c>
      <c r="L19" s="20">
        <f>'BREAKDOWN AHT'!X20</f>
        <v>1015.4501170691956</v>
      </c>
      <c r="M19" s="20">
        <f>'BREAKDOWN AHT'!Y20</f>
        <v>1050.5482513503414</v>
      </c>
      <c r="N19" s="20">
        <f>'BREAKDOWN AHT'!Z20</f>
        <v>1135.3108445835801</v>
      </c>
      <c r="O19" s="20">
        <f>'BREAKDOWN AHT'!AA20</f>
        <v>1366.8387419849416</v>
      </c>
      <c r="P19" s="20">
        <f>'BREAKDOWN AHT'!AB20</f>
        <v>1268.8035437061367</v>
      </c>
      <c r="Q19" s="20">
        <f>'BREAKDOWN AHT'!AC20</f>
        <v>1584.8065410906522</v>
      </c>
      <c r="R19" s="20">
        <f>'BREAKDOWN AHT'!AD20</f>
        <v>1133.8015050206366</v>
      </c>
      <c r="T19" s="23">
        <v>0.48958333333333331</v>
      </c>
      <c r="U19" s="18">
        <f>'BREAKDOWN SHRINKAGE'!X20</f>
        <v>0.14999999999999997</v>
      </c>
      <c r="V19" s="18">
        <f>'BREAKDOWN SHRINKAGE'!Y20</f>
        <v>0.15</v>
      </c>
      <c r="W19" s="18">
        <f>'BREAKDOWN SHRINKAGE'!Z20</f>
        <v>0.15</v>
      </c>
      <c r="X19" s="18">
        <f>'BREAKDOWN SHRINKAGE'!AA20</f>
        <v>0.15</v>
      </c>
      <c r="Y19" s="18">
        <f>'BREAKDOWN SHRINKAGE'!AB20</f>
        <v>0.15</v>
      </c>
      <c r="Z19" s="18">
        <f>'BREAKDOWN SHRINKAGE'!AC20</f>
        <v>0.15</v>
      </c>
      <c r="AA19" s="18">
        <f>'BREAKDOWN SHRINKAGE'!AD20</f>
        <v>0.15</v>
      </c>
      <c r="AC19" s="23">
        <v>0.48958333333333331</v>
      </c>
      <c r="AD19" s="25">
        <v>0.75</v>
      </c>
      <c r="AE19" s="25">
        <v>0.75</v>
      </c>
      <c r="AF19" s="25">
        <v>0.75</v>
      </c>
      <c r="AG19" s="25">
        <v>0.75</v>
      </c>
      <c r="AH19" s="25">
        <v>0.75</v>
      </c>
      <c r="AI19" s="25">
        <v>0.75</v>
      </c>
      <c r="AJ19" s="25">
        <v>0.75</v>
      </c>
      <c r="AL19" s="23">
        <v>0.48958333333333331</v>
      </c>
      <c r="AM19" s="4">
        <f t="shared" si="1"/>
        <v>27.375222715269985</v>
      </c>
      <c r="AN19" s="4">
        <f t="shared" si="2"/>
        <v>32.100443519357313</v>
      </c>
      <c r="AO19" s="4">
        <f t="shared" si="3"/>
        <v>35.666578472965675</v>
      </c>
      <c r="AP19" s="4">
        <f t="shared" si="4"/>
        <v>35.877657186423214</v>
      </c>
      <c r="AQ19" s="4">
        <f t="shared" si="5"/>
        <v>30.734423372060697</v>
      </c>
      <c r="AR19" s="4">
        <f t="shared" si="6"/>
        <v>34.58941747524819</v>
      </c>
      <c r="AS19" s="4">
        <f t="shared" si="7"/>
        <v>15.171620302672533</v>
      </c>
      <c r="AU19" s="23"/>
    </row>
    <row r="20" spans="2:47" x14ac:dyDescent="0.3">
      <c r="B20" s="24">
        <v>0.5</v>
      </c>
      <c r="C20" s="4">
        <f>'BREAKDOWN CALL VOLUME'!W21</f>
        <v>39.449844801552274</v>
      </c>
      <c r="D20" s="4">
        <f>'BREAKDOWN CALL VOLUME'!X21</f>
        <v>43.433024152193106</v>
      </c>
      <c r="E20" s="4">
        <f>'BREAKDOWN CALL VOLUME'!Y21</f>
        <v>43.025033490187859</v>
      </c>
      <c r="F20" s="4">
        <f>'BREAKDOWN CALL VOLUME'!Z21</f>
        <v>39.118739917797257</v>
      </c>
      <c r="G20" s="4">
        <f>'BREAKDOWN CALL VOLUME'!AA21</f>
        <v>34.766012794276307</v>
      </c>
      <c r="H20" s="4">
        <f>'BREAKDOWN CALL VOLUME'!AB21</f>
        <v>34.914370285353165</v>
      </c>
      <c r="I20" s="4">
        <f>'BREAKDOWN CALL VOLUME'!AC21</f>
        <v>20.403076223683676</v>
      </c>
      <c r="K20" s="23">
        <v>0.5</v>
      </c>
      <c r="L20" s="20">
        <f>'BREAKDOWN AHT'!X21</f>
        <v>913.03064672660241</v>
      </c>
      <c r="M20" s="20">
        <f>'BREAKDOWN AHT'!Y21</f>
        <v>888.83329817782601</v>
      </c>
      <c r="N20" s="20">
        <f>'BREAKDOWN AHT'!Z21</f>
        <v>1131.7650944992049</v>
      </c>
      <c r="O20" s="20">
        <f>'BREAKDOWN AHT'!AA21</f>
        <v>1083.5620595683752</v>
      </c>
      <c r="P20" s="20">
        <f>'BREAKDOWN AHT'!AB21</f>
        <v>1190.6053796831604</v>
      </c>
      <c r="Q20" s="20">
        <f>'BREAKDOWN AHT'!AC21</f>
        <v>1165.7851290925341</v>
      </c>
      <c r="R20" s="20">
        <f>'BREAKDOWN AHT'!AD21</f>
        <v>874.57842452780437</v>
      </c>
      <c r="T20" s="23">
        <v>0.5</v>
      </c>
      <c r="U20" s="18">
        <f>'BREAKDOWN SHRINKAGE'!X21</f>
        <v>0.14999999999999997</v>
      </c>
      <c r="V20" s="18">
        <f>'BREAKDOWN SHRINKAGE'!Y21</f>
        <v>0.15</v>
      </c>
      <c r="W20" s="18">
        <f>'BREAKDOWN SHRINKAGE'!Z21</f>
        <v>0.15</v>
      </c>
      <c r="X20" s="18">
        <f>'BREAKDOWN SHRINKAGE'!AA21</f>
        <v>0.15</v>
      </c>
      <c r="Y20" s="18">
        <f>'BREAKDOWN SHRINKAGE'!AB21</f>
        <v>0.15</v>
      </c>
      <c r="Z20" s="18">
        <f>'BREAKDOWN SHRINKAGE'!AC21</f>
        <v>0.15</v>
      </c>
      <c r="AA20" s="18">
        <f>'BREAKDOWN SHRINKAGE'!AD21</f>
        <v>0.15</v>
      </c>
      <c r="AC20" s="23">
        <v>0.5</v>
      </c>
      <c r="AD20" s="25">
        <v>0.75</v>
      </c>
      <c r="AE20" s="25">
        <v>0.75</v>
      </c>
      <c r="AF20" s="25">
        <v>0.75</v>
      </c>
      <c r="AG20" s="25">
        <v>0.75</v>
      </c>
      <c r="AH20" s="25">
        <v>0.75</v>
      </c>
      <c r="AI20" s="25">
        <v>0.75</v>
      </c>
      <c r="AJ20" s="25">
        <v>0.75</v>
      </c>
      <c r="AL20" s="23">
        <v>0.5</v>
      </c>
      <c r="AM20" s="4">
        <f t="shared" si="1"/>
        <v>26.680679490685456</v>
      </c>
      <c r="AN20" s="4">
        <f t="shared" si="2"/>
        <v>28.596087486689612</v>
      </c>
      <c r="AO20" s="4">
        <f t="shared" si="3"/>
        <v>36.069800810262159</v>
      </c>
      <c r="AP20" s="4">
        <f t="shared" si="4"/>
        <v>31.398209180035558</v>
      </c>
      <c r="AQ20" s="4">
        <f t="shared" si="5"/>
        <v>30.661186565184412</v>
      </c>
      <c r="AR20" s="4">
        <f t="shared" si="6"/>
        <v>30.150113829848131</v>
      </c>
      <c r="AS20" s="4">
        <f t="shared" si="7"/>
        <v>13.217844636466648</v>
      </c>
      <c r="AU20" s="23"/>
    </row>
    <row r="21" spans="2:47" x14ac:dyDescent="0.3">
      <c r="B21" s="24">
        <v>0.51041666666666663</v>
      </c>
      <c r="C21" s="4">
        <f>'BREAKDOWN CALL VOLUME'!W22</f>
        <v>36.885332068947903</v>
      </c>
      <c r="D21" s="4">
        <f>'BREAKDOWN CALL VOLUME'!X22</f>
        <v>39.886357607101949</v>
      </c>
      <c r="E21" s="4">
        <f>'BREAKDOWN CALL VOLUME'!Y22</f>
        <v>35.32405473318925</v>
      </c>
      <c r="F21" s="4">
        <f>'BREAKDOWN CALL VOLUME'!Z22</f>
        <v>31.864194711929009</v>
      </c>
      <c r="G21" s="4">
        <f>'BREAKDOWN CALL VOLUME'!AA22</f>
        <v>35.491467314863137</v>
      </c>
      <c r="H21" s="4">
        <f>'BREAKDOWN CALL VOLUME'!AB22</f>
        <v>29.883826367737957</v>
      </c>
      <c r="I21" s="4">
        <f>'BREAKDOWN CALL VOLUME'!AC22</f>
        <v>19.876922395565753</v>
      </c>
      <c r="K21" s="23">
        <v>0.51041666666666663</v>
      </c>
      <c r="L21" s="20">
        <f>'BREAKDOWN AHT'!X22</f>
        <v>1085.7661744856894</v>
      </c>
      <c r="M21" s="20">
        <f>'BREAKDOWN AHT'!Y22</f>
        <v>1341.6351670608694</v>
      </c>
      <c r="N21" s="20">
        <f>'BREAKDOWN AHT'!Z22</f>
        <v>1785.0455897744871</v>
      </c>
      <c r="O21" s="20">
        <f>'BREAKDOWN AHT'!AA22</f>
        <v>1860.5604834633418</v>
      </c>
      <c r="P21" s="20">
        <f>'BREAKDOWN AHT'!AB22</f>
        <v>1157.8311491735305</v>
      </c>
      <c r="Q21" s="20">
        <f>'BREAKDOWN AHT'!AC22</f>
        <v>1616.430798599944</v>
      </c>
      <c r="R21" s="20">
        <f>'BREAKDOWN AHT'!AD22</f>
        <v>1271.4388984985776</v>
      </c>
      <c r="T21" s="23">
        <v>0.51041666666666663</v>
      </c>
      <c r="U21" s="18">
        <f>'BREAKDOWN SHRINKAGE'!X22</f>
        <v>0.14999999999999997</v>
      </c>
      <c r="V21" s="18">
        <f>'BREAKDOWN SHRINKAGE'!Y22</f>
        <v>0.15</v>
      </c>
      <c r="W21" s="18">
        <f>'BREAKDOWN SHRINKAGE'!Z22</f>
        <v>0.15</v>
      </c>
      <c r="X21" s="18">
        <f>'BREAKDOWN SHRINKAGE'!AA22</f>
        <v>0.15</v>
      </c>
      <c r="Y21" s="18">
        <f>'BREAKDOWN SHRINKAGE'!AB22</f>
        <v>0.15</v>
      </c>
      <c r="Z21" s="18">
        <f>'BREAKDOWN SHRINKAGE'!AC22</f>
        <v>0.15</v>
      </c>
      <c r="AA21" s="18">
        <f>'BREAKDOWN SHRINKAGE'!AD22</f>
        <v>0.15</v>
      </c>
      <c r="AC21" s="23">
        <v>0.51041666666666663</v>
      </c>
      <c r="AD21" s="25">
        <v>0.75</v>
      </c>
      <c r="AE21" s="25">
        <v>0.75</v>
      </c>
      <c r="AF21" s="25">
        <v>0.75</v>
      </c>
      <c r="AG21" s="25">
        <v>0.75</v>
      </c>
      <c r="AH21" s="25">
        <v>0.75</v>
      </c>
      <c r="AI21" s="25">
        <v>0.75</v>
      </c>
      <c r="AJ21" s="25">
        <v>0.75</v>
      </c>
      <c r="AL21" s="23">
        <v>0.51041666666666663</v>
      </c>
      <c r="AM21" s="4">
        <f t="shared" si="1"/>
        <v>29.665811774174728</v>
      </c>
      <c r="AN21" s="4">
        <f t="shared" si="2"/>
        <v>39.639214853076886</v>
      </c>
      <c r="AO21" s="4">
        <f t="shared" si="3"/>
        <v>46.707443047727459</v>
      </c>
      <c r="AP21" s="4">
        <f t="shared" si="4"/>
        <v>43.915008532145706</v>
      </c>
      <c r="AQ21" s="4">
        <f t="shared" si="5"/>
        <v>30.439352879276136</v>
      </c>
      <c r="AR21" s="4">
        <f t="shared" si="6"/>
        <v>35.781583200610903</v>
      </c>
      <c r="AS21" s="4">
        <f t="shared" si="7"/>
        <v>18.720216530488763</v>
      </c>
      <c r="AU21" s="23"/>
    </row>
    <row r="22" spans="2:47" x14ac:dyDescent="0.3">
      <c r="B22" s="24">
        <v>0.52083333333333337</v>
      </c>
      <c r="C22" s="4">
        <f>'BREAKDOWN CALL VOLUME'!W23</f>
        <v>37.922049982128399</v>
      </c>
      <c r="D22" s="4">
        <f>'BREAKDOWN CALL VOLUME'!X23</f>
        <v>34.375383437037257</v>
      </c>
      <c r="E22" s="4">
        <f>'BREAKDOWN CALL VOLUME'!Y23</f>
        <v>37.333005713275845</v>
      </c>
      <c r="F22" s="4">
        <f>'BREAKDOWN CALL VOLUME'!Z23</f>
        <v>35.156642151515371</v>
      </c>
      <c r="G22" s="4">
        <f>'BREAKDOWN CALL VOLUME'!AA23</f>
        <v>32.254824069168066</v>
      </c>
      <c r="H22" s="4">
        <f>'BREAKDOWN CALL VOLUME'!AB23</f>
        <v>29.404726947012701</v>
      </c>
      <c r="I22" s="4">
        <f>'BREAKDOWN CALL VOLUME'!AC23</f>
        <v>18.473845520584643</v>
      </c>
      <c r="K22" s="23">
        <v>0.52083333333333337</v>
      </c>
      <c r="L22" s="20">
        <f>'BREAKDOWN AHT'!X23</f>
        <v>1504.5480087754036</v>
      </c>
      <c r="M22" s="20">
        <f>'BREAKDOWN AHT'!Y23</f>
        <v>1254.7882477645187</v>
      </c>
      <c r="N22" s="20">
        <f>'BREAKDOWN AHT'!Z23</f>
        <v>1694.9643714146857</v>
      </c>
      <c r="O22" s="20">
        <f>'BREAKDOWN AHT'!AA23</f>
        <v>1911.1592954782088</v>
      </c>
      <c r="P22" s="20">
        <f>'BREAKDOWN AHT'!AB23</f>
        <v>1199.8051636858634</v>
      </c>
      <c r="Q22" s="20">
        <f>'BREAKDOWN AHT'!AC23</f>
        <v>1445.2525259454812</v>
      </c>
      <c r="R22" s="20">
        <f>'BREAKDOWN AHT'!AD23</f>
        <v>898.1768288055714</v>
      </c>
      <c r="T22" s="23">
        <v>0.52083333333333337</v>
      </c>
      <c r="U22" s="18">
        <f>'BREAKDOWN SHRINKAGE'!X23</f>
        <v>0.14999999999999997</v>
      </c>
      <c r="V22" s="18">
        <f>'BREAKDOWN SHRINKAGE'!Y23</f>
        <v>0.15</v>
      </c>
      <c r="W22" s="18">
        <f>'BREAKDOWN SHRINKAGE'!Z23</f>
        <v>0.15</v>
      </c>
      <c r="X22" s="18">
        <f>'BREAKDOWN SHRINKAGE'!AA23</f>
        <v>0.15</v>
      </c>
      <c r="Y22" s="18">
        <f>'BREAKDOWN SHRINKAGE'!AB23</f>
        <v>0.15</v>
      </c>
      <c r="Z22" s="18">
        <f>'BREAKDOWN SHRINKAGE'!AC23</f>
        <v>0.15</v>
      </c>
      <c r="AA22" s="18">
        <f>'BREAKDOWN SHRINKAGE'!AD23</f>
        <v>0.15</v>
      </c>
      <c r="AC22" s="23">
        <v>0.52083333333333337</v>
      </c>
      <c r="AD22" s="25">
        <v>0.75</v>
      </c>
      <c r="AE22" s="25">
        <v>0.75</v>
      </c>
      <c r="AF22" s="25">
        <v>0.75</v>
      </c>
      <c r="AG22" s="25">
        <v>0.75</v>
      </c>
      <c r="AH22" s="25">
        <v>0.75</v>
      </c>
      <c r="AI22" s="25">
        <v>0.75</v>
      </c>
      <c r="AJ22" s="25">
        <v>0.75</v>
      </c>
      <c r="AL22" s="23">
        <v>0.52083333333333337</v>
      </c>
      <c r="AM22" s="4">
        <f t="shared" si="1"/>
        <v>42.263366510587119</v>
      </c>
      <c r="AN22" s="4">
        <f t="shared" si="2"/>
        <v>31.950983073476618</v>
      </c>
      <c r="AO22" s="4">
        <f t="shared" si="3"/>
        <v>46.87267745320257</v>
      </c>
      <c r="AP22" s="4">
        <f t="shared" si="4"/>
        <v>49.77032847827379</v>
      </c>
      <c r="AQ22" s="4">
        <f t="shared" si="5"/>
        <v>28.666299608864382</v>
      </c>
      <c r="AR22" s="4">
        <f t="shared" si="6"/>
        <v>31.479448811042417</v>
      </c>
      <c r="AS22" s="4">
        <f t="shared" si="7"/>
        <v>12.290948137424239</v>
      </c>
      <c r="AU22" s="23"/>
    </row>
    <row r="23" spans="2:47" x14ac:dyDescent="0.3">
      <c r="B23" s="24">
        <v>0.53125</v>
      </c>
      <c r="C23" s="4">
        <f>'BREAKDOWN CALL VOLUME'!W24</f>
        <v>38.904203794615178</v>
      </c>
      <c r="D23" s="4">
        <f>'BREAKDOWN CALL VOLUME'!X24</f>
        <v>39.668101204327108</v>
      </c>
      <c r="E23" s="4">
        <f>'BREAKDOWN CALL VOLUME'!Y24</f>
        <v>35.10083795762408</v>
      </c>
      <c r="F23" s="4">
        <f>'BREAKDOWN CALL VOLUME'!Z24</f>
        <v>32.031607293602896</v>
      </c>
      <c r="G23" s="4">
        <f>'BREAKDOWN CALL VOLUME'!AA24</f>
        <v>33.705733110341711</v>
      </c>
      <c r="H23" s="4">
        <f>'BREAKDOWN CALL VOLUME'!AB24</f>
        <v>30.2431509332819</v>
      </c>
      <c r="I23" s="4">
        <f>'BREAKDOWN CALL VOLUME'!AC24</f>
        <v>17.187691718518625</v>
      </c>
      <c r="K23" s="23">
        <v>0.53125</v>
      </c>
      <c r="L23" s="20">
        <f>'BREAKDOWN AHT'!X24</f>
        <v>2114.6326432254937</v>
      </c>
      <c r="M23" s="20">
        <f>'BREAKDOWN AHT'!Y24</f>
        <v>962.98259892877945</v>
      </c>
      <c r="N23" s="20">
        <f>'BREAKDOWN AHT'!Z24</f>
        <v>1179.7764672633118</v>
      </c>
      <c r="O23" s="20">
        <f>'BREAKDOWN AHT'!AA24</f>
        <v>1377.5718233214286</v>
      </c>
      <c r="P23" s="20">
        <f>'BREAKDOWN AHT'!AB24</f>
        <v>1322.5647814719327</v>
      </c>
      <c r="Q23" s="20">
        <f>'BREAKDOWN AHT'!AC24</f>
        <v>1263.2932564128507</v>
      </c>
      <c r="R23" s="20">
        <f>'BREAKDOWN AHT'!AD24</f>
        <v>1409.5554473933262</v>
      </c>
      <c r="T23" s="23">
        <v>0.53125</v>
      </c>
      <c r="U23" s="18">
        <f>'BREAKDOWN SHRINKAGE'!X24</f>
        <v>0.14999999999999997</v>
      </c>
      <c r="V23" s="18">
        <f>'BREAKDOWN SHRINKAGE'!Y24</f>
        <v>0.15</v>
      </c>
      <c r="W23" s="18">
        <f>'BREAKDOWN SHRINKAGE'!Z24</f>
        <v>0.15</v>
      </c>
      <c r="X23" s="18">
        <f>'BREAKDOWN SHRINKAGE'!AA24</f>
        <v>0.15</v>
      </c>
      <c r="Y23" s="18">
        <f>'BREAKDOWN SHRINKAGE'!AB24</f>
        <v>0.15</v>
      </c>
      <c r="Z23" s="18">
        <f>'BREAKDOWN SHRINKAGE'!AC24</f>
        <v>0.15</v>
      </c>
      <c r="AA23" s="18">
        <f>'BREAKDOWN SHRINKAGE'!AD24</f>
        <v>0.15</v>
      </c>
      <c r="AC23" s="23">
        <v>0.53125</v>
      </c>
      <c r="AD23" s="25">
        <v>0.75</v>
      </c>
      <c r="AE23" s="25">
        <v>0.75</v>
      </c>
      <c r="AF23" s="25">
        <v>0.75</v>
      </c>
      <c r="AG23" s="25">
        <v>0.75</v>
      </c>
      <c r="AH23" s="25">
        <v>0.75</v>
      </c>
      <c r="AI23" s="25">
        <v>0.75</v>
      </c>
      <c r="AJ23" s="25">
        <v>0.75</v>
      </c>
      <c r="AL23" s="23">
        <v>0.53125</v>
      </c>
      <c r="AM23" s="4">
        <f t="shared" si="1"/>
        <v>60.939332816881759</v>
      </c>
      <c r="AN23" s="4">
        <f t="shared" si="2"/>
        <v>28.296067549861306</v>
      </c>
      <c r="AO23" s="4">
        <f t="shared" si="3"/>
        <v>30.674920447131626</v>
      </c>
      <c r="AP23" s="4">
        <f t="shared" si="4"/>
        <v>32.685807158047787</v>
      </c>
      <c r="AQ23" s="4">
        <f t="shared" si="5"/>
        <v>33.020752255874349</v>
      </c>
      <c r="AR23" s="4">
        <f t="shared" si="6"/>
        <v>28.30071750125262</v>
      </c>
      <c r="AS23" s="4">
        <f t="shared" si="7"/>
        <v>17.945929251818583</v>
      </c>
      <c r="AU23" s="23"/>
    </row>
    <row r="24" spans="2:47" x14ac:dyDescent="0.3">
      <c r="B24" s="24">
        <v>0.54166666666666663</v>
      </c>
      <c r="C24" s="4">
        <f>'BREAKDOWN CALL VOLUME'!W25</f>
        <v>39.558973002939688</v>
      </c>
      <c r="D24" s="4">
        <f>'BREAKDOWN CALL VOLUME'!X25</f>
        <v>40.159178110570501</v>
      </c>
      <c r="E24" s="4">
        <f>'BREAKDOWN CALL VOLUME'!Y25</f>
        <v>37.221397325493257</v>
      </c>
      <c r="F24" s="4">
        <f>'BREAKDOWN CALL VOLUME'!Z25</f>
        <v>38.225872815536555</v>
      </c>
      <c r="G24" s="4">
        <f>'BREAKDOWN CALL VOLUME'!AA25</f>
        <v>32.645453426407123</v>
      </c>
      <c r="H24" s="4">
        <f>'BREAKDOWN CALL VOLUME'!AB25</f>
        <v>33.536959450768045</v>
      </c>
      <c r="I24" s="4">
        <f>'BREAKDOWN CALL VOLUME'!AC25</f>
        <v>20.461537760141223</v>
      </c>
      <c r="K24" s="23">
        <v>0.54166666666666663</v>
      </c>
      <c r="L24" s="20">
        <f>'BREAKDOWN AHT'!X25</f>
        <v>1430.7580745870559</v>
      </c>
      <c r="M24" s="20">
        <f>'BREAKDOWN AHT'!Y25</f>
        <v>1398.0557173899472</v>
      </c>
      <c r="N24" s="20">
        <f>'BREAKDOWN AHT'!Z25</f>
        <v>988.59345595713785</v>
      </c>
      <c r="O24" s="20">
        <f>'BREAKDOWN AHT'!AA25</f>
        <v>1018.7802472160074</v>
      </c>
      <c r="P24" s="20">
        <f>'BREAKDOWN AHT'!AB25</f>
        <v>1202.296771853262</v>
      </c>
      <c r="Q24" s="20">
        <f>'BREAKDOWN AHT'!AC25</f>
        <v>1256.1059251607392</v>
      </c>
      <c r="R24" s="20">
        <f>'BREAKDOWN AHT'!AD25</f>
        <v>1018.684416132646</v>
      </c>
      <c r="T24" s="23">
        <v>0.54166666666666663</v>
      </c>
      <c r="U24" s="18">
        <f>'BREAKDOWN SHRINKAGE'!X25</f>
        <v>0.14999999999999997</v>
      </c>
      <c r="V24" s="18">
        <f>'BREAKDOWN SHRINKAGE'!Y25</f>
        <v>0.15</v>
      </c>
      <c r="W24" s="18">
        <f>'BREAKDOWN SHRINKAGE'!Z25</f>
        <v>0.15</v>
      </c>
      <c r="X24" s="18">
        <f>'BREAKDOWN SHRINKAGE'!AA25</f>
        <v>0.15</v>
      </c>
      <c r="Y24" s="18">
        <f>'BREAKDOWN SHRINKAGE'!AB25</f>
        <v>0.15</v>
      </c>
      <c r="Z24" s="18">
        <f>'BREAKDOWN SHRINKAGE'!AC25</f>
        <v>0.15</v>
      </c>
      <c r="AA24" s="18">
        <f>'BREAKDOWN SHRINKAGE'!AD25</f>
        <v>0.15</v>
      </c>
      <c r="AC24" s="23">
        <v>0.54166666666666663</v>
      </c>
      <c r="AD24" s="25">
        <v>0.75</v>
      </c>
      <c r="AE24" s="25">
        <v>0.75</v>
      </c>
      <c r="AF24" s="25">
        <v>0.75</v>
      </c>
      <c r="AG24" s="25">
        <v>0.75</v>
      </c>
      <c r="AH24" s="25">
        <v>0.75</v>
      </c>
      <c r="AI24" s="25">
        <v>0.75</v>
      </c>
      <c r="AJ24" s="25">
        <v>0.75</v>
      </c>
      <c r="AL24" s="23">
        <v>0.54166666666666663</v>
      </c>
      <c r="AM24" s="4">
        <f t="shared" si="1"/>
        <v>41.925422256538752</v>
      </c>
      <c r="AN24" s="4">
        <f t="shared" si="2"/>
        <v>41.58871745419578</v>
      </c>
      <c r="AO24" s="4">
        <f t="shared" si="3"/>
        <v>27.256910975972705</v>
      </c>
      <c r="AP24" s="4">
        <f t="shared" si="4"/>
        <v>28.847232708933326</v>
      </c>
      <c r="AQ24" s="4">
        <f t="shared" si="5"/>
        <v>29.073720940929849</v>
      </c>
      <c r="AR24" s="4">
        <f t="shared" si="6"/>
        <v>31.204424798507546</v>
      </c>
      <c r="AS24" s="4">
        <f t="shared" si="7"/>
        <v>15.439888626937444</v>
      </c>
      <c r="AU24" s="23"/>
    </row>
    <row r="25" spans="2:47" x14ac:dyDescent="0.3">
      <c r="B25" s="24">
        <v>0.55208333333333337</v>
      </c>
      <c r="C25" s="4">
        <f>'BREAKDOWN CALL VOLUME'!W26</f>
        <v>43.214767749418264</v>
      </c>
      <c r="D25" s="4">
        <f>'BREAKDOWN CALL VOLUME'!X26</f>
        <v>37.376408975191296</v>
      </c>
      <c r="E25" s="4">
        <f>'BREAKDOWN CALL VOLUME'!Y26</f>
        <v>34.542796018711137</v>
      </c>
      <c r="F25" s="4">
        <f>'BREAKDOWN CALL VOLUME'!Z26</f>
        <v>34.096362467580782</v>
      </c>
      <c r="G25" s="4">
        <f>'BREAKDOWN CALL VOLUME'!AA26</f>
        <v>31.361956966907357</v>
      </c>
      <c r="H25" s="4">
        <f>'BREAKDOWN CALL VOLUME'!AB26</f>
        <v>28.386640677971528</v>
      </c>
      <c r="I25" s="4">
        <f>'BREAKDOWN CALL VOLUME'!AC26</f>
        <v>18.649230129957282</v>
      </c>
      <c r="K25" s="23">
        <v>0.55208333333333337</v>
      </c>
      <c r="L25" s="20">
        <f>'BREAKDOWN AHT'!X26</f>
        <v>1110.4426784512732</v>
      </c>
      <c r="M25" s="20">
        <f>'BREAKDOWN AHT'!Y26</f>
        <v>1536.0524774304938</v>
      </c>
      <c r="N25" s="20">
        <f>'BREAKDOWN AHT'!Z26</f>
        <v>841.10941866380381</v>
      </c>
      <c r="O25" s="20">
        <f>'BREAKDOWN AHT'!AA26</f>
        <v>804.98110023652168</v>
      </c>
      <c r="P25" s="20">
        <f>'BREAKDOWN AHT'!AB26</f>
        <v>1104.4532357411802</v>
      </c>
      <c r="Q25" s="20">
        <f>'BREAKDOWN AHT'!AC26</f>
        <v>1587.8012624456985</v>
      </c>
      <c r="R25" s="20">
        <f>'BREAKDOWN AHT'!AD26</f>
        <v>815.52251940628571</v>
      </c>
      <c r="T25" s="23">
        <v>0.55208333333333337</v>
      </c>
      <c r="U25" s="18">
        <f>'BREAKDOWN SHRINKAGE'!X26</f>
        <v>0.14999999999999997</v>
      </c>
      <c r="V25" s="18">
        <f>'BREAKDOWN SHRINKAGE'!Y26</f>
        <v>0.15</v>
      </c>
      <c r="W25" s="18">
        <f>'BREAKDOWN SHRINKAGE'!Z26</f>
        <v>0.15</v>
      </c>
      <c r="X25" s="18">
        <f>'BREAKDOWN SHRINKAGE'!AA26</f>
        <v>0.15</v>
      </c>
      <c r="Y25" s="18">
        <f>'BREAKDOWN SHRINKAGE'!AB26</f>
        <v>0.15</v>
      </c>
      <c r="Z25" s="18">
        <f>'BREAKDOWN SHRINKAGE'!AC26</f>
        <v>0.15</v>
      </c>
      <c r="AA25" s="18">
        <f>'BREAKDOWN SHRINKAGE'!AD26</f>
        <v>0.15</v>
      </c>
      <c r="AC25" s="23">
        <v>0.55208333333333337</v>
      </c>
      <c r="AD25" s="25">
        <v>0.75</v>
      </c>
      <c r="AE25" s="25">
        <v>0.75</v>
      </c>
      <c r="AF25" s="25">
        <v>0.75</v>
      </c>
      <c r="AG25" s="25">
        <v>0.75</v>
      </c>
      <c r="AH25" s="25">
        <v>0.75</v>
      </c>
      <c r="AI25" s="25">
        <v>0.75</v>
      </c>
      <c r="AJ25" s="25">
        <v>0.75</v>
      </c>
      <c r="AL25" s="23">
        <v>0.55208333333333337</v>
      </c>
      <c r="AM25" s="4">
        <f t="shared" si="1"/>
        <v>35.546312924676826</v>
      </c>
      <c r="AN25" s="4">
        <f t="shared" si="2"/>
        <v>42.527500447257729</v>
      </c>
      <c r="AO25" s="4">
        <f t="shared" si="3"/>
        <v>21.521682280237393</v>
      </c>
      <c r="AP25" s="4">
        <f t="shared" si="4"/>
        <v>20.331057313493645</v>
      </c>
      <c r="AQ25" s="4">
        <f t="shared" si="5"/>
        <v>25.657640630575173</v>
      </c>
      <c r="AR25" s="4">
        <f t="shared" si="6"/>
        <v>33.386921411167123</v>
      </c>
      <c r="AS25" s="4">
        <f t="shared" si="7"/>
        <v>11.265827511533612</v>
      </c>
      <c r="AU25" s="23"/>
    </row>
    <row r="26" spans="2:47" x14ac:dyDescent="0.3">
      <c r="B26" s="24">
        <v>0.5625</v>
      </c>
      <c r="C26" s="4">
        <f>'BREAKDOWN CALL VOLUME'!W27</f>
        <v>42.887383145255995</v>
      </c>
      <c r="D26" s="4">
        <f>'BREAKDOWN CALL VOLUME'!X27</f>
        <v>38.958767895308888</v>
      </c>
      <c r="E26" s="4">
        <f>'BREAKDOWN CALL VOLUME'!Y27</f>
        <v>38.895523142232086</v>
      </c>
      <c r="F26" s="4">
        <f>'BREAKDOWN CALL VOLUME'!Z27</f>
        <v>35.770488284319612</v>
      </c>
      <c r="G26" s="4">
        <f>'BREAKDOWN CALL VOLUME'!AA27</f>
        <v>34.54279601871113</v>
      </c>
      <c r="H26" s="4">
        <f>'BREAKDOWN CALL VOLUME'!AB27</f>
        <v>28.626190388334155</v>
      </c>
      <c r="I26" s="4">
        <f>'BREAKDOWN CALL VOLUME'!AC27</f>
        <v>20.987691588259136</v>
      </c>
      <c r="K26" s="23">
        <v>0.5625</v>
      </c>
      <c r="L26" s="20">
        <f>'BREAKDOWN AHT'!X27</f>
        <v>1103.0157694907577</v>
      </c>
      <c r="M26" s="20">
        <f>'BREAKDOWN AHT'!Y27</f>
        <v>1081.5735645886241</v>
      </c>
      <c r="N26" s="20">
        <f>'BREAKDOWN AHT'!Z27</f>
        <v>1018.2052607158386</v>
      </c>
      <c r="O26" s="20">
        <f>'BREAKDOWN AHT'!AA27</f>
        <v>977.38121920384356</v>
      </c>
      <c r="P26" s="20">
        <f>'BREAKDOWN AHT'!AB27</f>
        <v>1080.6871270675306</v>
      </c>
      <c r="Q26" s="20">
        <f>'BREAKDOWN AHT'!AC27</f>
        <v>1341.994533623475</v>
      </c>
      <c r="R26" s="20">
        <f>'BREAKDOWN AHT'!AD27</f>
        <v>966.57626455483535</v>
      </c>
      <c r="T26" s="23">
        <v>0.5625</v>
      </c>
      <c r="U26" s="18">
        <f>'BREAKDOWN SHRINKAGE'!X27</f>
        <v>0.14999999999999997</v>
      </c>
      <c r="V26" s="18">
        <f>'BREAKDOWN SHRINKAGE'!Y27</f>
        <v>0.15</v>
      </c>
      <c r="W26" s="18">
        <f>'BREAKDOWN SHRINKAGE'!Z27</f>
        <v>0.15</v>
      </c>
      <c r="X26" s="18">
        <f>'BREAKDOWN SHRINKAGE'!AA27</f>
        <v>0.15</v>
      </c>
      <c r="Y26" s="18">
        <f>'BREAKDOWN SHRINKAGE'!AB27</f>
        <v>0.15</v>
      </c>
      <c r="Z26" s="18">
        <f>'BREAKDOWN SHRINKAGE'!AC27</f>
        <v>0.15</v>
      </c>
      <c r="AA26" s="18">
        <f>'BREAKDOWN SHRINKAGE'!AD27</f>
        <v>0.15</v>
      </c>
      <c r="AC26" s="23">
        <v>0.5625</v>
      </c>
      <c r="AD26" s="25">
        <v>0.75</v>
      </c>
      <c r="AE26" s="25">
        <v>0.75</v>
      </c>
      <c r="AF26" s="25">
        <v>0.75</v>
      </c>
      <c r="AG26" s="25">
        <v>0.75</v>
      </c>
      <c r="AH26" s="25">
        <v>0.75</v>
      </c>
      <c r="AI26" s="25">
        <v>0.75</v>
      </c>
      <c r="AJ26" s="25">
        <v>0.75</v>
      </c>
      <c r="AL26" s="23">
        <v>0.5625</v>
      </c>
      <c r="AM26" s="4">
        <f t="shared" si="1"/>
        <v>35.041081423266299</v>
      </c>
      <c r="AN26" s="4">
        <f t="shared" si="2"/>
        <v>31.212424788525986</v>
      </c>
      <c r="AO26" s="4">
        <f t="shared" si="3"/>
        <v>29.336019467937298</v>
      </c>
      <c r="AP26" s="4">
        <f t="shared" si="4"/>
        <v>25.897335889514896</v>
      </c>
      <c r="AQ26" s="4">
        <f t="shared" si="5"/>
        <v>27.651818511363455</v>
      </c>
      <c r="AR26" s="4">
        <f t="shared" si="6"/>
        <v>28.456437792303188</v>
      </c>
      <c r="AS26" s="4">
        <f t="shared" si="7"/>
        <v>15.02681817556182</v>
      </c>
      <c r="AU26" s="23"/>
    </row>
    <row r="27" spans="2:47" x14ac:dyDescent="0.3">
      <c r="B27" s="24">
        <v>0.57291666666666663</v>
      </c>
      <c r="C27" s="4">
        <f>'BREAKDOWN CALL VOLUME'!W28</f>
        <v>36.448819263398228</v>
      </c>
      <c r="D27" s="4">
        <f>'BREAKDOWN CALL VOLUME'!X28</f>
        <v>33.011280919694499</v>
      </c>
      <c r="E27" s="4">
        <f>'BREAKDOWN CALL VOLUME'!Y28</f>
        <v>36.663355386580314</v>
      </c>
      <c r="F27" s="4">
        <f>'BREAKDOWN CALL VOLUME'!Z28</f>
        <v>34.710208600385016</v>
      </c>
      <c r="G27" s="4">
        <f>'BREAKDOWN CALL VOLUME'!AA28</f>
        <v>34.877621182058895</v>
      </c>
      <c r="H27" s="4">
        <f>'BREAKDOWN CALL VOLUME'!AB28</f>
        <v>28.626190388334155</v>
      </c>
      <c r="I27" s="4">
        <f>'BREAKDOWN CALL VOLUME'!AC28</f>
        <v>16.719999426858255</v>
      </c>
      <c r="K27" s="23">
        <v>0.57291666666666663</v>
      </c>
      <c r="L27" s="20">
        <f>'BREAKDOWN AHT'!X28</f>
        <v>1101.4585143861334</v>
      </c>
      <c r="M27" s="20">
        <f>'BREAKDOWN AHT'!Y28</f>
        <v>1185.3107123274376</v>
      </c>
      <c r="N27" s="20">
        <f>'BREAKDOWN AHT'!Z28</f>
        <v>1062.2875590621243</v>
      </c>
      <c r="O27" s="20">
        <f>'BREAKDOWN AHT'!AA28</f>
        <v>1154.4770612558784</v>
      </c>
      <c r="P27" s="20">
        <f>'BREAKDOWN AHT'!AB28</f>
        <v>1158.5977978404223</v>
      </c>
      <c r="Q27" s="20">
        <f>'BREAKDOWN AHT'!AC28</f>
        <v>1210.3465828556273</v>
      </c>
      <c r="R27" s="20">
        <f>'BREAKDOWN AHT'!AD28</f>
        <v>1107.3281682420247</v>
      </c>
      <c r="T27" s="23">
        <v>0.57291666666666663</v>
      </c>
      <c r="U27" s="18">
        <f>'BREAKDOWN SHRINKAGE'!X28</f>
        <v>0.14999999999999997</v>
      </c>
      <c r="V27" s="18">
        <f>'BREAKDOWN SHRINKAGE'!Y28</f>
        <v>0.15</v>
      </c>
      <c r="W27" s="18">
        <f>'BREAKDOWN SHRINKAGE'!Z28</f>
        <v>0.15</v>
      </c>
      <c r="X27" s="18">
        <f>'BREAKDOWN SHRINKAGE'!AA28</f>
        <v>0.15</v>
      </c>
      <c r="Y27" s="18">
        <f>'BREAKDOWN SHRINKAGE'!AB28</f>
        <v>0.15</v>
      </c>
      <c r="Z27" s="18">
        <f>'BREAKDOWN SHRINKAGE'!AC28</f>
        <v>0.15</v>
      </c>
      <c r="AA27" s="18">
        <f>'BREAKDOWN SHRINKAGE'!AD28</f>
        <v>0.15</v>
      </c>
      <c r="AC27" s="23">
        <v>0.57291666666666663</v>
      </c>
      <c r="AD27" s="25">
        <v>0.75</v>
      </c>
      <c r="AE27" s="25">
        <v>0.75</v>
      </c>
      <c r="AF27" s="25">
        <v>0.75</v>
      </c>
      <c r="AG27" s="25">
        <v>0.75</v>
      </c>
      <c r="AH27" s="25">
        <v>0.75</v>
      </c>
      <c r="AI27" s="25">
        <v>0.75</v>
      </c>
      <c r="AJ27" s="25">
        <v>0.75</v>
      </c>
      <c r="AL27" s="23">
        <v>0.57291666666666663</v>
      </c>
      <c r="AM27" s="4">
        <f t="shared" si="1"/>
        <v>29.738416531104658</v>
      </c>
      <c r="AN27" s="4">
        <f t="shared" si="2"/>
        <v>28.984166593899438</v>
      </c>
      <c r="AO27" s="4">
        <f t="shared" si="3"/>
        <v>28.8496491115834</v>
      </c>
      <c r="AP27" s="4">
        <f t="shared" si="4"/>
        <v>29.683066385593342</v>
      </c>
      <c r="AQ27" s="4">
        <f t="shared" si="5"/>
        <v>29.932692663293263</v>
      </c>
      <c r="AR27" s="4">
        <f t="shared" si="6"/>
        <v>25.664897567922107</v>
      </c>
      <c r="AS27" s="4">
        <f t="shared" si="7"/>
        <v>13.714463954333818</v>
      </c>
      <c r="AU27" s="23"/>
    </row>
    <row r="28" spans="2:47" x14ac:dyDescent="0.3">
      <c r="B28" s="24">
        <v>0.58333333333333337</v>
      </c>
      <c r="C28" s="4">
        <f>'BREAKDOWN CALL VOLUME'!W29</f>
        <v>42.941947245949699</v>
      </c>
      <c r="D28" s="4">
        <f>'BREAKDOWN CALL VOLUME'!X29</f>
        <v>38.358562787678075</v>
      </c>
      <c r="E28" s="4">
        <f>'BREAKDOWN CALL VOLUME'!Y29</f>
        <v>39.174544111688554</v>
      </c>
      <c r="F28" s="4">
        <f>'BREAKDOWN CALL VOLUME'!Z29</f>
        <v>38.951327336123377</v>
      </c>
      <c r="G28" s="4">
        <f>'BREAKDOWN CALL VOLUME'!AA29</f>
        <v>36.551746998797725</v>
      </c>
      <c r="H28" s="4">
        <f>'BREAKDOWN CALL VOLUME'!AB29</f>
        <v>30.362925788463215</v>
      </c>
      <c r="I28" s="4">
        <f>'BREAKDOWN CALL VOLUME'!AC29</f>
        <v>20.28615315076858</v>
      </c>
      <c r="K28" s="23">
        <v>0.58333333333333337</v>
      </c>
      <c r="L28" s="20">
        <f>'BREAKDOWN AHT'!X29</f>
        <v>1129.129739706764</v>
      </c>
      <c r="M28" s="20">
        <f>'BREAKDOWN AHT'!Y29</f>
        <v>1059.891781978087</v>
      </c>
      <c r="N28" s="20">
        <f>'BREAKDOWN AHT'!Z29</f>
        <v>1109.4364520759777</v>
      </c>
      <c r="O28" s="20">
        <f>'BREAKDOWN AHT'!AA29</f>
        <v>1200.3801501860323</v>
      </c>
      <c r="P28" s="20">
        <f>'BREAKDOWN AHT'!AB29</f>
        <v>1064.0125185626312</v>
      </c>
      <c r="Q28" s="20">
        <f>'BREAKDOWN AHT'!AC29</f>
        <v>2025.6295245535091</v>
      </c>
      <c r="R28" s="20">
        <f>'BREAKDOWN AHT'!AD29</f>
        <v>1064.4437584377577</v>
      </c>
      <c r="T28" s="23">
        <v>0.58333333333333337</v>
      </c>
      <c r="U28" s="18">
        <f>'BREAKDOWN SHRINKAGE'!X29</f>
        <v>0.14999999999999997</v>
      </c>
      <c r="V28" s="18">
        <f>'BREAKDOWN SHRINKAGE'!Y29</f>
        <v>0.15</v>
      </c>
      <c r="W28" s="18">
        <f>'BREAKDOWN SHRINKAGE'!Z29</f>
        <v>0.15</v>
      </c>
      <c r="X28" s="18">
        <f>'BREAKDOWN SHRINKAGE'!AA29</f>
        <v>0.15</v>
      </c>
      <c r="Y28" s="18">
        <f>'BREAKDOWN SHRINKAGE'!AB29</f>
        <v>0.15</v>
      </c>
      <c r="Z28" s="18">
        <f>'BREAKDOWN SHRINKAGE'!AC29</f>
        <v>0.15</v>
      </c>
      <c r="AA28" s="18">
        <f>'BREAKDOWN SHRINKAGE'!AD29</f>
        <v>0.15</v>
      </c>
      <c r="AC28" s="23">
        <v>0.58333333333333337</v>
      </c>
      <c r="AD28" s="25">
        <v>0.75</v>
      </c>
      <c r="AE28" s="25">
        <v>0.75</v>
      </c>
      <c r="AF28" s="25">
        <v>0.75</v>
      </c>
      <c r="AG28" s="25">
        <v>0.75</v>
      </c>
      <c r="AH28" s="25">
        <v>0.75</v>
      </c>
      <c r="AI28" s="25">
        <v>0.75</v>
      </c>
      <c r="AJ28" s="25">
        <v>0.75</v>
      </c>
      <c r="AL28" s="23">
        <v>0.58333333333333337</v>
      </c>
      <c r="AM28" s="4">
        <f t="shared" si="1"/>
        <v>35.916318308385755</v>
      </c>
      <c r="AN28" s="4">
        <f t="shared" si="2"/>
        <v>30.115500346037372</v>
      </c>
      <c r="AO28" s="4">
        <f t="shared" si="3"/>
        <v>32.193827578493064</v>
      </c>
      <c r="AP28" s="4">
        <f t="shared" si="4"/>
        <v>34.634370487171175</v>
      </c>
      <c r="AQ28" s="4">
        <f t="shared" si="5"/>
        <v>28.808530653373971</v>
      </c>
      <c r="AR28" s="4">
        <f t="shared" si="6"/>
        <v>45.558547354769054</v>
      </c>
      <c r="AS28" s="4">
        <f t="shared" si="7"/>
        <v>15.995162299294865</v>
      </c>
      <c r="AU28" s="23"/>
    </row>
    <row r="29" spans="2:47" x14ac:dyDescent="0.3">
      <c r="B29" s="24">
        <v>0.59375</v>
      </c>
      <c r="C29" s="4">
        <f>'BREAKDOWN CALL VOLUME'!W30</f>
        <v>37.976614082822103</v>
      </c>
      <c r="D29" s="4">
        <f>'BREAKDOWN CALL VOLUME'!X30</f>
        <v>40.868511419588735</v>
      </c>
      <c r="E29" s="4">
        <f>'BREAKDOWN CALL VOLUME'!Y30</f>
        <v>41.350907673449029</v>
      </c>
      <c r="F29" s="4">
        <f>'BREAKDOWN CALL VOLUME'!Z30</f>
        <v>35.547271508754427</v>
      </c>
      <c r="G29" s="4">
        <f>'BREAKDOWN CALL VOLUME'!AA30</f>
        <v>33.594124722559123</v>
      </c>
      <c r="H29" s="4">
        <f>'BREAKDOWN CALL VOLUME'!AB30</f>
        <v>28.147090967608897</v>
      </c>
      <c r="I29" s="4">
        <f>'BREAKDOWN CALL VOLUME'!AC30</f>
        <v>18.181537838296912</v>
      </c>
      <c r="K29" s="23">
        <v>0.59375</v>
      </c>
      <c r="L29" s="20">
        <f>'BREAKDOWN AHT'!X30</f>
        <v>1077.5007435457608</v>
      </c>
      <c r="M29" s="20">
        <f>'BREAKDOWN AHT'!Y30</f>
        <v>1020.6010377998757</v>
      </c>
      <c r="N29" s="20">
        <f>'BREAKDOWN AHT'!Z30</f>
        <v>927.0699004390608</v>
      </c>
      <c r="O29" s="20">
        <f>'BREAKDOWN AHT'!AA30</f>
        <v>1416.5750742495552</v>
      </c>
      <c r="P29" s="20">
        <f>'BREAKDOWN AHT'!AB30</f>
        <v>1168.5642305100175</v>
      </c>
      <c r="Q29" s="20">
        <f>'BREAKDOWN AHT'!AC30</f>
        <v>1153.2072994013383</v>
      </c>
      <c r="R29" s="20">
        <f>'BREAKDOWN AHT'!AD30</f>
        <v>1710.8244157110123</v>
      </c>
      <c r="T29" s="23">
        <v>0.59375</v>
      </c>
      <c r="U29" s="18">
        <f>'BREAKDOWN SHRINKAGE'!X30</f>
        <v>0.14999999999999997</v>
      </c>
      <c r="V29" s="18">
        <f>'BREAKDOWN SHRINKAGE'!Y30</f>
        <v>0.15</v>
      </c>
      <c r="W29" s="18">
        <f>'BREAKDOWN SHRINKAGE'!Z30</f>
        <v>0.15</v>
      </c>
      <c r="X29" s="18">
        <f>'BREAKDOWN SHRINKAGE'!AA30</f>
        <v>0.15</v>
      </c>
      <c r="Y29" s="18">
        <f>'BREAKDOWN SHRINKAGE'!AB30</f>
        <v>0.15</v>
      </c>
      <c r="Z29" s="18">
        <f>'BREAKDOWN SHRINKAGE'!AC30</f>
        <v>0.15</v>
      </c>
      <c r="AA29" s="18">
        <f>'BREAKDOWN SHRINKAGE'!AD30</f>
        <v>0.15</v>
      </c>
      <c r="AC29" s="23">
        <v>0.59375</v>
      </c>
      <c r="AD29" s="25">
        <v>0.75</v>
      </c>
      <c r="AE29" s="25">
        <v>0.75</v>
      </c>
      <c r="AF29" s="25">
        <v>0.75</v>
      </c>
      <c r="AG29" s="25">
        <v>0.75</v>
      </c>
      <c r="AH29" s="25">
        <v>0.75</v>
      </c>
      <c r="AI29" s="25">
        <v>0.75</v>
      </c>
      <c r="AJ29" s="25">
        <v>0.75</v>
      </c>
      <c r="AL29" s="23">
        <v>0.59375</v>
      </c>
      <c r="AM29" s="4">
        <f t="shared" si="1"/>
        <v>30.310985119697204</v>
      </c>
      <c r="AN29" s="4">
        <f t="shared" si="2"/>
        <v>30.896626050495062</v>
      </c>
      <c r="AO29" s="4">
        <f t="shared" si="3"/>
        <v>28.396431007325322</v>
      </c>
      <c r="AP29" s="4">
        <f t="shared" si="4"/>
        <v>37.300280575468811</v>
      </c>
      <c r="AQ29" s="4">
        <f t="shared" si="5"/>
        <v>29.079179634129524</v>
      </c>
      <c r="AR29" s="4">
        <f t="shared" si="6"/>
        <v>24.044022785748194</v>
      </c>
      <c r="AS29" s="4">
        <f t="shared" si="7"/>
        <v>23.041050999208871</v>
      </c>
      <c r="AU29" s="23"/>
    </row>
    <row r="30" spans="2:47" x14ac:dyDescent="0.3">
      <c r="B30" s="24">
        <v>0.60416666666666663</v>
      </c>
      <c r="C30" s="4">
        <f>'BREAKDOWN CALL VOLUME'!W31</f>
        <v>41.741537030688086</v>
      </c>
      <c r="D30" s="4">
        <f>'BREAKDOWN CALL VOLUME'!X31</f>
        <v>43.487588252886809</v>
      </c>
      <c r="E30" s="4">
        <f>'BREAKDOWN CALL VOLUME'!Y31</f>
        <v>39.620977662818909</v>
      </c>
      <c r="F30" s="4">
        <f>'BREAKDOWN CALL VOLUME'!Z31</f>
        <v>32.366432456950655</v>
      </c>
      <c r="G30" s="4">
        <f>'BREAKDOWN CALL VOLUME'!AA31</f>
        <v>33.036082783646187</v>
      </c>
      <c r="H30" s="4">
        <f>'BREAKDOWN CALL VOLUME'!AB31</f>
        <v>30.602475498825843</v>
      </c>
      <c r="I30" s="4">
        <f>'BREAKDOWN CALL VOLUME'!AC31</f>
        <v>17.713845546636541</v>
      </c>
      <c r="K30" s="23">
        <v>0.60416666666666663</v>
      </c>
      <c r="L30" s="20">
        <f>'BREAKDOWN AHT'!X31</f>
        <v>1010.5387740469192</v>
      </c>
      <c r="M30" s="20">
        <f>'BREAKDOWN AHT'!Y31</f>
        <v>1030.3039349902267</v>
      </c>
      <c r="N30" s="20">
        <f>'BREAKDOWN AHT'!Z31</f>
        <v>815.90584373973172</v>
      </c>
      <c r="O30" s="20">
        <f>'BREAKDOWN AHT'!AA31</f>
        <v>1185.5263322650012</v>
      </c>
      <c r="P30" s="20">
        <f>'BREAKDOWN AHT'!AB31</f>
        <v>1482.2193663521766</v>
      </c>
      <c r="Q30" s="20">
        <f>'BREAKDOWN AHT'!AC31</f>
        <v>1069.3551014600341</v>
      </c>
      <c r="R30" s="20">
        <f>'BREAKDOWN AHT'!AD31</f>
        <v>1133.442138458031</v>
      </c>
      <c r="T30" s="23">
        <v>0.60416666666666663</v>
      </c>
      <c r="U30" s="18">
        <f>'BREAKDOWN SHRINKAGE'!X31</f>
        <v>0.14999999999999997</v>
      </c>
      <c r="V30" s="18">
        <f>'BREAKDOWN SHRINKAGE'!Y31</f>
        <v>0.15</v>
      </c>
      <c r="W30" s="18">
        <f>'BREAKDOWN SHRINKAGE'!Z31</f>
        <v>0.15</v>
      </c>
      <c r="X30" s="18">
        <f>'BREAKDOWN SHRINKAGE'!AA31</f>
        <v>0.15</v>
      </c>
      <c r="Y30" s="18">
        <f>'BREAKDOWN SHRINKAGE'!AB31</f>
        <v>0.15</v>
      </c>
      <c r="Z30" s="18">
        <f>'BREAKDOWN SHRINKAGE'!AC31</f>
        <v>0.15</v>
      </c>
      <c r="AA30" s="18">
        <f>'BREAKDOWN SHRINKAGE'!AD31</f>
        <v>0.15</v>
      </c>
      <c r="AC30" s="23">
        <v>0.60416666666666663</v>
      </c>
      <c r="AD30" s="25">
        <v>0.75</v>
      </c>
      <c r="AE30" s="25">
        <v>0.75</v>
      </c>
      <c r="AF30" s="25">
        <v>0.75</v>
      </c>
      <c r="AG30" s="25">
        <v>0.75</v>
      </c>
      <c r="AH30" s="25">
        <v>0.75</v>
      </c>
      <c r="AI30" s="25">
        <v>0.75</v>
      </c>
      <c r="AJ30" s="25">
        <v>0.75</v>
      </c>
      <c r="AL30" s="23">
        <v>0.60416666666666663</v>
      </c>
      <c r="AM30" s="4">
        <f t="shared" si="1"/>
        <v>31.245512339130091</v>
      </c>
      <c r="AN30" s="4">
        <f t="shared" si="2"/>
        <v>33.189209851988174</v>
      </c>
      <c r="AO30" s="4">
        <f t="shared" si="3"/>
        <v>23.945916451685427</v>
      </c>
      <c r="AP30" s="4">
        <f t="shared" si="4"/>
        <v>28.423154043845631</v>
      </c>
      <c r="AQ30" s="4">
        <f t="shared" si="5"/>
        <v>36.271645696543779</v>
      </c>
      <c r="AR30" s="4">
        <f t="shared" si="6"/>
        <v>24.240676512574161</v>
      </c>
      <c r="AS30" s="4">
        <f t="shared" si="7"/>
        <v>14.8723103531074</v>
      </c>
      <c r="AU30" s="23"/>
    </row>
    <row r="31" spans="2:47" x14ac:dyDescent="0.3">
      <c r="B31" s="24">
        <v>0.61458333333333337</v>
      </c>
      <c r="C31" s="4">
        <f>'BREAKDOWN CALL VOLUME'!W32</f>
        <v>39.286152499471143</v>
      </c>
      <c r="D31" s="4">
        <f>'BREAKDOWN CALL VOLUME'!X32</f>
        <v>39.558973002939695</v>
      </c>
      <c r="E31" s="4">
        <f>'BREAKDOWN CALL VOLUME'!Y32</f>
        <v>41.239299285666441</v>
      </c>
      <c r="F31" s="4">
        <f>'BREAKDOWN CALL VOLUME'!Z32</f>
        <v>37.835243458297491</v>
      </c>
      <c r="G31" s="4">
        <f>'BREAKDOWN CALL VOLUME'!AA32</f>
        <v>34.933425375950186</v>
      </c>
      <c r="H31" s="4">
        <f>'BREAKDOWN CALL VOLUME'!AB32</f>
        <v>30.2431509332819</v>
      </c>
      <c r="I31" s="4">
        <f>'BREAKDOWN CALL VOLUME'!AC32</f>
        <v>17.947691692466726</v>
      </c>
      <c r="K31" s="23">
        <v>0.61458333333333337</v>
      </c>
      <c r="L31" s="20">
        <f>'BREAKDOWN AHT'!X32</f>
        <v>1307.2557659049348</v>
      </c>
      <c r="M31" s="20">
        <f>'BREAKDOWN AHT'!Y32</f>
        <v>986.70079206074843</v>
      </c>
      <c r="N31" s="20">
        <f>'BREAKDOWN AHT'!Z32</f>
        <v>1101.1949789068892</v>
      </c>
      <c r="O31" s="20">
        <f>'BREAKDOWN AHT'!AA32</f>
        <v>1144.3189664195602</v>
      </c>
      <c r="P31" s="20">
        <f>'BREAKDOWN AHT'!AB32</f>
        <v>950.06936044581869</v>
      </c>
      <c r="Q31" s="20">
        <f>'BREAKDOWN AHT'!AC32</f>
        <v>1453.5179568854098</v>
      </c>
      <c r="R31" s="20">
        <f>'BREAKDOWN AHT'!AD32</f>
        <v>1325.8230383062237</v>
      </c>
      <c r="T31" s="23">
        <v>0.61458333333333337</v>
      </c>
      <c r="U31" s="18">
        <f>'BREAKDOWN SHRINKAGE'!X32</f>
        <v>0.14999999999999997</v>
      </c>
      <c r="V31" s="18">
        <f>'BREAKDOWN SHRINKAGE'!Y32</f>
        <v>0.15</v>
      </c>
      <c r="W31" s="18">
        <f>'BREAKDOWN SHRINKAGE'!Z32</f>
        <v>0.15</v>
      </c>
      <c r="X31" s="18">
        <f>'BREAKDOWN SHRINKAGE'!AA32</f>
        <v>0.15</v>
      </c>
      <c r="Y31" s="18">
        <f>'BREAKDOWN SHRINKAGE'!AB32</f>
        <v>0.15</v>
      </c>
      <c r="Z31" s="18">
        <f>'BREAKDOWN SHRINKAGE'!AC32</f>
        <v>0.15</v>
      </c>
      <c r="AA31" s="18">
        <f>'BREAKDOWN SHRINKAGE'!AD32</f>
        <v>0.15</v>
      </c>
      <c r="AC31" s="23">
        <v>0.61458333333333337</v>
      </c>
      <c r="AD31" s="25">
        <v>0.75</v>
      </c>
      <c r="AE31" s="25">
        <v>0.75</v>
      </c>
      <c r="AF31" s="25">
        <v>0.75</v>
      </c>
      <c r="AG31" s="25">
        <v>0.75</v>
      </c>
      <c r="AH31" s="25">
        <v>0.75</v>
      </c>
      <c r="AI31" s="25">
        <v>0.75</v>
      </c>
      <c r="AJ31" s="25">
        <v>0.75</v>
      </c>
      <c r="AL31" s="23">
        <v>0.61458333333333337</v>
      </c>
      <c r="AM31" s="4">
        <f t="shared" si="1"/>
        <v>38.042258796410529</v>
      </c>
      <c r="AN31" s="4">
        <f t="shared" si="2"/>
        <v>28.913237033415083</v>
      </c>
      <c r="AO31" s="4">
        <f t="shared" si="3"/>
        <v>33.638895782973592</v>
      </c>
      <c r="AP31" s="4">
        <f t="shared" si="4"/>
        <v>32.070804954393637</v>
      </c>
      <c r="AQ31" s="4">
        <f t="shared" si="5"/>
        <v>24.584575633415355</v>
      </c>
      <c r="AR31" s="4">
        <f t="shared" si="6"/>
        <v>32.562194780978501</v>
      </c>
      <c r="AS31" s="4">
        <f t="shared" si="7"/>
        <v>17.626268985399708</v>
      </c>
      <c r="AU31" s="23"/>
    </row>
    <row r="32" spans="2:47" x14ac:dyDescent="0.3">
      <c r="B32" s="24">
        <v>0.625</v>
      </c>
      <c r="C32" s="4">
        <f>'BREAKDOWN CALL VOLUME'!W33</f>
        <v>46.815998395203117</v>
      </c>
      <c r="D32" s="4">
        <f>'BREAKDOWN CALL VOLUME'!X33</f>
        <v>42.014357534156638</v>
      </c>
      <c r="E32" s="4">
        <f>'BREAKDOWN CALL VOLUME'!Y33</f>
        <v>41.127690897883852</v>
      </c>
      <c r="F32" s="4">
        <f>'BREAKDOWN CALL VOLUME'!Z33</f>
        <v>38.225872815536555</v>
      </c>
      <c r="G32" s="4">
        <f>'BREAKDOWN CALL VOLUME'!AA33</f>
        <v>37.612026682732314</v>
      </c>
      <c r="H32" s="4">
        <f>'BREAKDOWN CALL VOLUME'!AB33</f>
        <v>26.470242995070496</v>
      </c>
      <c r="I32" s="4">
        <f>'BREAKDOWN CALL VOLUME'!AC33</f>
        <v>19.701537786193118</v>
      </c>
      <c r="K32" s="23">
        <v>0.625</v>
      </c>
      <c r="L32" s="20">
        <f>'BREAKDOWN AHT'!X33</f>
        <v>1132.2442499160122</v>
      </c>
      <c r="M32" s="20">
        <f>'BREAKDOWN AHT'!Y33</f>
        <v>1050.188884787736</v>
      </c>
      <c r="N32" s="20">
        <f>'BREAKDOWN AHT'!Z33</f>
        <v>1194.4386230176199</v>
      </c>
      <c r="O32" s="20">
        <f>'BREAKDOWN AHT'!AA33</f>
        <v>1022.9009838005517</v>
      </c>
      <c r="P32" s="20">
        <f>'BREAKDOWN AHT'!AB33</f>
        <v>1038.7131125551975</v>
      </c>
      <c r="Q32" s="20">
        <f>'BREAKDOWN AHT'!AC33</f>
        <v>1334.3280469545557</v>
      </c>
      <c r="R32" s="20">
        <f>'BREAKDOWN AHT'!AD33</f>
        <v>982.6279710178851</v>
      </c>
      <c r="T32" s="23">
        <v>0.625</v>
      </c>
      <c r="U32" s="18">
        <f>'BREAKDOWN SHRINKAGE'!X33</f>
        <v>0.14999999999999997</v>
      </c>
      <c r="V32" s="18">
        <f>'BREAKDOWN SHRINKAGE'!Y33</f>
        <v>0.15</v>
      </c>
      <c r="W32" s="18">
        <f>'BREAKDOWN SHRINKAGE'!Z33</f>
        <v>0.15</v>
      </c>
      <c r="X32" s="18">
        <f>'BREAKDOWN SHRINKAGE'!AA33</f>
        <v>0.15</v>
      </c>
      <c r="Y32" s="18">
        <f>'BREAKDOWN SHRINKAGE'!AB33</f>
        <v>0.15</v>
      </c>
      <c r="Z32" s="18">
        <f>'BREAKDOWN SHRINKAGE'!AC33</f>
        <v>0.15</v>
      </c>
      <c r="AA32" s="18">
        <f>'BREAKDOWN SHRINKAGE'!AD33</f>
        <v>0.15</v>
      </c>
      <c r="AC32" s="23">
        <v>0.625</v>
      </c>
      <c r="AD32" s="25">
        <v>0.75</v>
      </c>
      <c r="AE32" s="25">
        <v>0.75</v>
      </c>
      <c r="AF32" s="25">
        <v>0.75</v>
      </c>
      <c r="AG32" s="25">
        <v>0.75</v>
      </c>
      <c r="AH32" s="25">
        <v>0.75</v>
      </c>
      <c r="AI32" s="25">
        <v>0.75</v>
      </c>
      <c r="AJ32" s="25">
        <v>0.75</v>
      </c>
      <c r="AL32" s="23">
        <v>0.625</v>
      </c>
      <c r="AM32" s="4">
        <f t="shared" si="1"/>
        <v>39.264551842256282</v>
      </c>
      <c r="AN32" s="4">
        <f t="shared" si="2"/>
        <v>32.683712062125309</v>
      </c>
      <c r="AO32" s="4">
        <f t="shared" si="3"/>
        <v>36.388520358490879</v>
      </c>
      <c r="AP32" s="4">
        <f t="shared" si="4"/>
        <v>28.96391326640526</v>
      </c>
      <c r="AQ32" s="4">
        <f t="shared" si="5"/>
        <v>28.939337263059279</v>
      </c>
      <c r="AR32" s="4">
        <f t="shared" si="6"/>
        <v>26.16295380594439</v>
      </c>
      <c r="AS32" s="4">
        <f t="shared" si="7"/>
        <v>14.340208963540103</v>
      </c>
      <c r="AU32" s="23"/>
    </row>
    <row r="33" spans="2:47" x14ac:dyDescent="0.3">
      <c r="B33" s="24">
        <v>0.63541666666666663</v>
      </c>
      <c r="C33" s="4">
        <f>'BREAKDOWN CALL VOLUME'!W34</f>
        <v>41.359588325832121</v>
      </c>
      <c r="D33" s="4">
        <f>'BREAKDOWN CALL VOLUME'!X34</f>
        <v>38.249434586290654</v>
      </c>
      <c r="E33" s="4">
        <f>'BREAKDOWN CALL VOLUME'!Y34</f>
        <v>41.239299285666441</v>
      </c>
      <c r="F33" s="4">
        <f>'BREAKDOWN CALL VOLUME'!Z34</f>
        <v>35.826292478210902</v>
      </c>
      <c r="G33" s="4">
        <f>'BREAKDOWN CALL VOLUME'!AA34</f>
        <v>36.663355386580314</v>
      </c>
      <c r="H33" s="4">
        <f>'BREAKDOWN CALL VOLUME'!AB34</f>
        <v>26.949342415795755</v>
      </c>
      <c r="I33" s="4">
        <f>'BREAKDOWN CALL VOLUME'!AC34</f>
        <v>18.123076301839365</v>
      </c>
      <c r="K33" s="23">
        <v>0.63541666666666663</v>
      </c>
      <c r="L33" s="20">
        <f>'BREAKDOWN AHT'!X34</f>
        <v>1403.6857935374346</v>
      </c>
      <c r="M33" s="20">
        <f>'BREAKDOWN AHT'!Y34</f>
        <v>1134.1608715832422</v>
      </c>
      <c r="N33" s="20">
        <f>'BREAKDOWN AHT'!Z34</f>
        <v>946.5236103614435</v>
      </c>
      <c r="O33" s="20">
        <f>'BREAKDOWN AHT'!AA34</f>
        <v>1009.0054767131355</v>
      </c>
      <c r="P33" s="20">
        <f>'BREAKDOWN AHT'!AB34</f>
        <v>1186.4846430986161</v>
      </c>
      <c r="Q33" s="20">
        <f>'BREAKDOWN AHT'!AC34</f>
        <v>1332.8905807041335</v>
      </c>
      <c r="R33" s="20">
        <f>'BREAKDOWN AHT'!AD34</f>
        <v>1023.1166037381148</v>
      </c>
      <c r="T33" s="23">
        <v>0.63541666666666663</v>
      </c>
      <c r="U33" s="18">
        <f>'BREAKDOWN SHRINKAGE'!X34</f>
        <v>0.14999999999999997</v>
      </c>
      <c r="V33" s="18">
        <f>'BREAKDOWN SHRINKAGE'!Y34</f>
        <v>0.15</v>
      </c>
      <c r="W33" s="18">
        <f>'BREAKDOWN SHRINKAGE'!Z34</f>
        <v>0.15</v>
      </c>
      <c r="X33" s="18">
        <f>'BREAKDOWN SHRINKAGE'!AA34</f>
        <v>0.15</v>
      </c>
      <c r="Y33" s="18">
        <f>'BREAKDOWN SHRINKAGE'!AB34</f>
        <v>0.15</v>
      </c>
      <c r="Z33" s="18">
        <f>'BREAKDOWN SHRINKAGE'!AC34</f>
        <v>0.15</v>
      </c>
      <c r="AA33" s="18">
        <f>'BREAKDOWN SHRINKAGE'!AD34</f>
        <v>0.15</v>
      </c>
      <c r="AC33" s="23">
        <v>0.63541666666666663</v>
      </c>
      <c r="AD33" s="25">
        <v>0.75</v>
      </c>
      <c r="AE33" s="25">
        <v>0.75</v>
      </c>
      <c r="AF33" s="25">
        <v>0.75</v>
      </c>
      <c r="AG33" s="25">
        <v>0.75</v>
      </c>
      <c r="AH33" s="25">
        <v>0.75</v>
      </c>
      <c r="AI33" s="25">
        <v>0.75</v>
      </c>
      <c r="AJ33" s="25">
        <v>0.75</v>
      </c>
      <c r="AL33" s="23">
        <v>0.63541666666666663</v>
      </c>
      <c r="AM33" s="4">
        <f t="shared" si="1"/>
        <v>43.004345599649831</v>
      </c>
      <c r="AN33" s="4">
        <f t="shared" si="2"/>
        <v>32.134083013298977</v>
      </c>
      <c r="AO33" s="4">
        <f t="shared" si="3"/>
        <v>28.914052184181557</v>
      </c>
      <c r="AP33" s="4">
        <f t="shared" si="4"/>
        <v>26.776981719141791</v>
      </c>
      <c r="AQ33" s="4">
        <f t="shared" si="5"/>
        <v>32.222598615292192</v>
      </c>
      <c r="AR33" s="4">
        <f t="shared" si="6"/>
        <v>26.607796046062624</v>
      </c>
      <c r="AS33" s="4">
        <f t="shared" si="7"/>
        <v>13.734829833499706</v>
      </c>
      <c r="AU33" s="23"/>
    </row>
    <row r="34" spans="2:47" x14ac:dyDescent="0.3">
      <c r="B34" s="24">
        <v>0.64583333333333337</v>
      </c>
      <c r="C34" s="4">
        <f>'BREAKDOWN CALL VOLUME'!W35</f>
        <v>40.595690916120184</v>
      </c>
      <c r="D34" s="4">
        <f>'BREAKDOWN CALL VOLUME'!X35</f>
        <v>42.287178037625189</v>
      </c>
      <c r="E34" s="4">
        <f>'BREAKDOWN CALL VOLUME'!Y35</f>
        <v>41.908949612361972</v>
      </c>
      <c r="F34" s="4">
        <f>'BREAKDOWN CALL VOLUME'!Z35</f>
        <v>40.346432183405739</v>
      </c>
      <c r="G34" s="4">
        <f>'BREAKDOWN CALL VOLUME'!AA35</f>
        <v>38.337481203319136</v>
      </c>
      <c r="H34" s="4">
        <f>'BREAKDOWN CALL VOLUME'!AB35</f>
        <v>24.134633319034865</v>
      </c>
      <c r="I34" s="4">
        <f>'BREAKDOWN CALL VOLUME'!AC35</f>
        <v>18.35692244766955</v>
      </c>
      <c r="K34" s="23">
        <v>0.64583333333333337</v>
      </c>
      <c r="L34" s="20">
        <f>'BREAKDOWN AHT'!X35</f>
        <v>1041.0849318683943</v>
      </c>
      <c r="M34" s="20">
        <f>'BREAKDOWN AHT'!Y35</f>
        <v>961.54513267835716</v>
      </c>
      <c r="N34" s="20">
        <f>'BREAKDOWN AHT'!Z35</f>
        <v>1191.0845350999678</v>
      </c>
      <c r="O34" s="20">
        <f>'BREAKDOWN AHT'!AA35</f>
        <v>1165.7851290925341</v>
      </c>
      <c r="P34" s="20">
        <f>'BREAKDOWN AHT'!AB35</f>
        <v>1152.4646085052868</v>
      </c>
      <c r="Q34" s="20">
        <f>'BREAKDOWN AHT'!AC35</f>
        <v>1493.1680676262267</v>
      </c>
      <c r="R34" s="20">
        <f>'BREAKDOWN AHT'!AD35</f>
        <v>1110.8020450138788</v>
      </c>
      <c r="T34" s="23">
        <v>0.64583333333333337</v>
      </c>
      <c r="U34" s="18">
        <f>'BREAKDOWN SHRINKAGE'!X35</f>
        <v>0.14999999999999997</v>
      </c>
      <c r="V34" s="18">
        <f>'BREAKDOWN SHRINKAGE'!Y35</f>
        <v>0.15</v>
      </c>
      <c r="W34" s="18">
        <f>'BREAKDOWN SHRINKAGE'!Z35</f>
        <v>0.15</v>
      </c>
      <c r="X34" s="18">
        <f>'BREAKDOWN SHRINKAGE'!AA35</f>
        <v>0.15</v>
      </c>
      <c r="Y34" s="18">
        <f>'BREAKDOWN SHRINKAGE'!AB35</f>
        <v>0.15</v>
      </c>
      <c r="Z34" s="18">
        <f>'BREAKDOWN SHRINKAGE'!AC35</f>
        <v>0.15</v>
      </c>
      <c r="AA34" s="18">
        <f>'BREAKDOWN SHRINKAGE'!AD35</f>
        <v>0.15</v>
      </c>
      <c r="AC34" s="23">
        <v>0.64583333333333337</v>
      </c>
      <c r="AD34" s="25">
        <v>0.75</v>
      </c>
      <c r="AE34" s="25">
        <v>0.75</v>
      </c>
      <c r="AF34" s="25">
        <v>0.75</v>
      </c>
      <c r="AG34" s="25">
        <v>0.75</v>
      </c>
      <c r="AH34" s="25">
        <v>0.75</v>
      </c>
      <c r="AI34" s="25">
        <v>0.75</v>
      </c>
      <c r="AJ34" s="25">
        <v>0.75</v>
      </c>
      <c r="AL34" s="23">
        <v>0.64583333333333337</v>
      </c>
      <c r="AM34" s="4">
        <f t="shared" si="1"/>
        <v>31.306342304858795</v>
      </c>
      <c r="AN34" s="4">
        <f t="shared" si="2"/>
        <v>30.119281642060464</v>
      </c>
      <c r="AO34" s="4">
        <f t="shared" si="3"/>
        <v>36.975630937457879</v>
      </c>
      <c r="AP34" s="4">
        <f t="shared" si="4"/>
        <v>34.840941223225805</v>
      </c>
      <c r="AQ34" s="4">
        <f t="shared" si="5"/>
        <v>32.727844641527398</v>
      </c>
      <c r="AR34" s="4">
        <f t="shared" si="6"/>
        <v>26.694121330259879</v>
      </c>
      <c r="AS34" s="4">
        <f t="shared" si="7"/>
        <v>15.104375551875936</v>
      </c>
      <c r="AU34" s="23"/>
    </row>
    <row r="35" spans="2:47" x14ac:dyDescent="0.3">
      <c r="B35" s="24">
        <v>0.65625</v>
      </c>
      <c r="C35" s="4">
        <f>'BREAKDOWN CALL VOLUME'!W36</f>
        <v>40.650255016813894</v>
      </c>
      <c r="D35" s="4">
        <f>'BREAKDOWN CALL VOLUME'!X36</f>
        <v>43.105639548030844</v>
      </c>
      <c r="E35" s="4">
        <f>'BREAKDOWN CALL VOLUME'!Y36</f>
        <v>41.18349509177515</v>
      </c>
      <c r="F35" s="4">
        <f>'BREAKDOWN CALL VOLUME'!Z36</f>
        <v>37.556222488841023</v>
      </c>
      <c r="G35" s="4">
        <f>'BREAKDOWN CALL VOLUME'!AA36</f>
        <v>36.774963774362895</v>
      </c>
      <c r="H35" s="4">
        <f>'BREAKDOWN CALL VOLUME'!AB36</f>
        <v>26.051031001935893</v>
      </c>
      <c r="I35" s="4">
        <f>'BREAKDOWN CALL VOLUME'!AC36</f>
        <v>17.421537864348807</v>
      </c>
      <c r="K35" s="23">
        <v>0.65625</v>
      </c>
      <c r="L35" s="20">
        <f>'BREAKDOWN AHT'!X36</f>
        <v>1566.478846397767</v>
      </c>
      <c r="M35" s="20">
        <f>'BREAKDOWN AHT'!Y36</f>
        <v>1246.4030279703879</v>
      </c>
      <c r="N35" s="20">
        <f>'BREAKDOWN AHT'!Z36</f>
        <v>1145.0856150864522</v>
      </c>
      <c r="O35" s="20">
        <f>'BREAKDOWN AHT'!AA36</f>
        <v>1216.28811002404</v>
      </c>
      <c r="P35" s="20">
        <f>'BREAKDOWN AHT'!AB36</f>
        <v>1181.5972578471801</v>
      </c>
      <c r="Q35" s="20">
        <f>'BREAKDOWN AHT'!AC36</f>
        <v>1068.2770017722173</v>
      </c>
      <c r="R35" s="20">
        <f>'BREAKDOWN AHT'!AD36</f>
        <v>1090.7973063621675</v>
      </c>
      <c r="T35" s="23">
        <v>0.65625</v>
      </c>
      <c r="U35" s="18">
        <f>'BREAKDOWN SHRINKAGE'!X36</f>
        <v>0.14999999999999997</v>
      </c>
      <c r="V35" s="18">
        <f>'BREAKDOWN SHRINKAGE'!Y36</f>
        <v>0.15</v>
      </c>
      <c r="W35" s="18">
        <f>'BREAKDOWN SHRINKAGE'!Z36</f>
        <v>0.15</v>
      </c>
      <c r="X35" s="18">
        <f>'BREAKDOWN SHRINKAGE'!AA36</f>
        <v>0.15</v>
      </c>
      <c r="Y35" s="18">
        <f>'BREAKDOWN SHRINKAGE'!AB36</f>
        <v>0.15</v>
      </c>
      <c r="Z35" s="18">
        <f>'BREAKDOWN SHRINKAGE'!AC36</f>
        <v>0.15</v>
      </c>
      <c r="AA35" s="18">
        <f>'BREAKDOWN SHRINKAGE'!AD36</f>
        <v>0.15</v>
      </c>
      <c r="AC35" s="23">
        <v>0.65625</v>
      </c>
      <c r="AD35" s="25">
        <v>0.75</v>
      </c>
      <c r="AE35" s="25">
        <v>0.75</v>
      </c>
      <c r="AF35" s="25">
        <v>0.75</v>
      </c>
      <c r="AG35" s="25">
        <v>0.75</v>
      </c>
      <c r="AH35" s="25">
        <v>0.75</v>
      </c>
      <c r="AI35" s="25">
        <v>0.75</v>
      </c>
      <c r="AJ35" s="25">
        <v>0.75</v>
      </c>
      <c r="AL35" s="23">
        <v>0.65625</v>
      </c>
      <c r="AM35" s="4">
        <f t="shared" si="1"/>
        <v>47.168714507047163</v>
      </c>
      <c r="AN35" s="4">
        <f t="shared" si="2"/>
        <v>39.797777522419075</v>
      </c>
      <c r="AO35" s="4">
        <f t="shared" si="3"/>
        <v>34.932316895240916</v>
      </c>
      <c r="AP35" s="4">
        <f t="shared" si="4"/>
        <v>33.836434718959104</v>
      </c>
      <c r="AQ35" s="4">
        <f t="shared" si="5"/>
        <v>32.187552854234504</v>
      </c>
      <c r="AR35" s="4">
        <f t="shared" si="6"/>
        <v>20.614605401350488</v>
      </c>
      <c r="AS35" s="4">
        <f t="shared" si="7"/>
        <v>14.07656783342088</v>
      </c>
      <c r="AU35" s="23"/>
    </row>
    <row r="36" spans="2:47" x14ac:dyDescent="0.3">
      <c r="B36" s="24">
        <v>0.66666666666666663</v>
      </c>
      <c r="C36" s="4">
        <f>'BREAKDOWN CALL VOLUME'!W37</f>
        <v>43.65128055496794</v>
      </c>
      <c r="D36" s="4">
        <f>'BREAKDOWN CALL VOLUME'!X37</f>
        <v>47.034254797977951</v>
      </c>
      <c r="E36" s="4">
        <f>'BREAKDOWN CALL VOLUME'!Y37</f>
        <v>46.596501899230681</v>
      </c>
      <c r="F36" s="4">
        <f>'BREAKDOWN CALL VOLUME'!Z37</f>
        <v>41.350907673449029</v>
      </c>
      <c r="G36" s="4">
        <f>'BREAKDOWN CALL VOLUME'!AA37</f>
        <v>36.942376356036782</v>
      </c>
      <c r="H36" s="4">
        <f>'BREAKDOWN CALL VOLUME'!AB37</f>
        <v>24.913169877713404</v>
      </c>
      <c r="I36" s="4">
        <f>'BREAKDOWN CALL VOLUME'!AC37</f>
        <v>16.135384062282789</v>
      </c>
      <c r="K36" s="23">
        <v>0.66666666666666663</v>
      </c>
      <c r="L36" s="20">
        <f>'BREAKDOWN AHT'!X37</f>
        <v>1116.4321211613665</v>
      </c>
      <c r="M36" s="20">
        <f>'BREAKDOWN AHT'!Y37</f>
        <v>1216.3360255657205</v>
      </c>
      <c r="N36" s="20">
        <f>'BREAKDOWN AHT'!Z37</f>
        <v>1268.3243882893294</v>
      </c>
      <c r="O36" s="20">
        <f>'BREAKDOWN AHT'!AA37</f>
        <v>963.77320536651189</v>
      </c>
      <c r="P36" s="20">
        <f>'BREAKDOWN AHT'!AB37</f>
        <v>908.5745013502933</v>
      </c>
      <c r="Q36" s="20">
        <f>'BREAKDOWN AHT'!AC37</f>
        <v>973.40422924434154</v>
      </c>
      <c r="R36" s="20">
        <f>'BREAKDOWN AHT'!AD37</f>
        <v>1353.614052481056</v>
      </c>
      <c r="T36" s="23">
        <v>0.66666666666666663</v>
      </c>
      <c r="U36" s="18">
        <f>'BREAKDOWN SHRINKAGE'!X37</f>
        <v>0.14999999999999997</v>
      </c>
      <c r="V36" s="18">
        <f>'BREAKDOWN SHRINKAGE'!Y37</f>
        <v>0.15</v>
      </c>
      <c r="W36" s="18">
        <f>'BREAKDOWN SHRINKAGE'!Z37</f>
        <v>0.15</v>
      </c>
      <c r="X36" s="18">
        <f>'BREAKDOWN SHRINKAGE'!AA37</f>
        <v>0.15</v>
      </c>
      <c r="Y36" s="18">
        <f>'BREAKDOWN SHRINKAGE'!AB37</f>
        <v>0.15</v>
      </c>
      <c r="Z36" s="18">
        <f>'BREAKDOWN SHRINKAGE'!AC37</f>
        <v>0.15</v>
      </c>
      <c r="AA36" s="18">
        <f>'BREAKDOWN SHRINKAGE'!AD37</f>
        <v>0.15</v>
      </c>
      <c r="AC36" s="23">
        <v>0.66666666666666663</v>
      </c>
      <c r="AD36" s="25">
        <v>0.75</v>
      </c>
      <c r="AE36" s="25">
        <v>0.75</v>
      </c>
      <c r="AF36" s="25">
        <v>0.75</v>
      </c>
      <c r="AG36" s="25">
        <v>0.75</v>
      </c>
      <c r="AH36" s="25">
        <v>0.75</v>
      </c>
      <c r="AI36" s="25">
        <v>0.75</v>
      </c>
      <c r="AJ36" s="25">
        <v>0.75</v>
      </c>
      <c r="AL36" s="23">
        <v>0.66666666666666663</v>
      </c>
      <c r="AM36" s="4">
        <f t="shared" si="1"/>
        <v>36.099030919550195</v>
      </c>
      <c r="AN36" s="4">
        <f t="shared" si="2"/>
        <v>42.377376701050316</v>
      </c>
      <c r="AO36" s="4">
        <f t="shared" si="3"/>
        <v>43.777392420566173</v>
      </c>
      <c r="AP36" s="4">
        <f t="shared" si="4"/>
        <v>29.520664320929381</v>
      </c>
      <c r="AQ36" s="4">
        <f t="shared" si="5"/>
        <v>24.862889760282211</v>
      </c>
      <c r="AR36" s="4">
        <f t="shared" si="6"/>
        <v>17.963396239147382</v>
      </c>
      <c r="AS36" s="4">
        <f t="shared" si="7"/>
        <v>16.178579710285074</v>
      </c>
      <c r="AU36" s="23"/>
    </row>
    <row r="37" spans="2:47" x14ac:dyDescent="0.3">
      <c r="B37" s="24">
        <v>0.67708333333333337</v>
      </c>
      <c r="C37" s="4">
        <f>'BREAKDOWN CALL VOLUME'!W38</f>
        <v>43.323895950805678</v>
      </c>
      <c r="D37" s="4">
        <f>'BREAKDOWN CALL VOLUME'!X38</f>
        <v>47.852716308383599</v>
      </c>
      <c r="E37" s="4">
        <f>'BREAKDOWN CALL VOLUME'!Y38</f>
        <v>44.699159306926681</v>
      </c>
      <c r="F37" s="4">
        <f>'BREAKDOWN CALL VOLUME'!Z38</f>
        <v>37.723635070514909</v>
      </c>
      <c r="G37" s="4">
        <f>'BREAKDOWN CALL VOLUME'!AA38</f>
        <v>37.946851846080079</v>
      </c>
      <c r="H37" s="4">
        <f>'BREAKDOWN CALL VOLUME'!AB38</f>
        <v>23.056659622403032</v>
      </c>
      <c r="I37" s="4">
        <f>'BREAKDOWN CALL VOLUME'!AC38</f>
        <v>17.772307083094088</v>
      </c>
      <c r="K37" s="23">
        <v>0.67708333333333337</v>
      </c>
      <c r="L37" s="20">
        <f>'BREAKDOWN AHT'!X38</f>
        <v>1304.38083340409</v>
      </c>
      <c r="M37" s="20">
        <f>'BREAKDOWN AHT'!Y38</f>
        <v>1006.4659530040559</v>
      </c>
      <c r="N37" s="20">
        <f>'BREAKDOWN AHT'!Z38</f>
        <v>937.99464394227073</v>
      </c>
      <c r="O37" s="20">
        <f>'BREAKDOWN AHT'!AA38</f>
        <v>1387.5382559910238</v>
      </c>
      <c r="P37" s="20">
        <f>'BREAKDOWN AHT'!AB38</f>
        <v>1374.505228653861</v>
      </c>
      <c r="Q37" s="20">
        <f>'BREAKDOWN AHT'!AC38</f>
        <v>1469.0905079316522</v>
      </c>
      <c r="R37" s="20">
        <f>'BREAKDOWN AHT'!AD38</f>
        <v>1035.9340111377142</v>
      </c>
      <c r="T37" s="23">
        <v>0.67708333333333337</v>
      </c>
      <c r="U37" s="18">
        <f>'BREAKDOWN SHRINKAGE'!X38</f>
        <v>0.14999999999999997</v>
      </c>
      <c r="V37" s="18">
        <f>'BREAKDOWN SHRINKAGE'!Y38</f>
        <v>0.15</v>
      </c>
      <c r="W37" s="18">
        <f>'BREAKDOWN SHRINKAGE'!Z38</f>
        <v>0.15</v>
      </c>
      <c r="X37" s="18">
        <f>'BREAKDOWN SHRINKAGE'!AA38</f>
        <v>0.15</v>
      </c>
      <c r="Y37" s="18">
        <f>'BREAKDOWN SHRINKAGE'!AB38</f>
        <v>0.15</v>
      </c>
      <c r="Z37" s="18">
        <f>'BREAKDOWN SHRINKAGE'!AC38</f>
        <v>0.15</v>
      </c>
      <c r="AA37" s="18">
        <f>'BREAKDOWN SHRINKAGE'!AD38</f>
        <v>0.15</v>
      </c>
      <c r="AC37" s="23">
        <v>0.67708333333333337</v>
      </c>
      <c r="AD37" s="25">
        <v>0.75</v>
      </c>
      <c r="AE37" s="25">
        <v>0.75</v>
      </c>
      <c r="AF37" s="25">
        <v>0.75</v>
      </c>
      <c r="AG37" s="25">
        <v>0.75</v>
      </c>
      <c r="AH37" s="25">
        <v>0.75</v>
      </c>
      <c r="AI37" s="25">
        <v>0.75</v>
      </c>
      <c r="AJ37" s="25">
        <v>0.75</v>
      </c>
      <c r="AL37" s="23">
        <v>0.67708333333333337</v>
      </c>
      <c r="AM37" s="4">
        <f t="shared" si="1"/>
        <v>41.859895930832586</v>
      </c>
      <c r="AN37" s="4">
        <f t="shared" si="2"/>
        <v>35.675651646777801</v>
      </c>
      <c r="AO37" s="4">
        <f t="shared" si="3"/>
        <v>31.057460754532986</v>
      </c>
      <c r="AP37" s="4">
        <f t="shared" si="4"/>
        <v>38.772582826210432</v>
      </c>
      <c r="AQ37" s="4">
        <f t="shared" si="5"/>
        <v>38.635663906215171</v>
      </c>
      <c r="AR37" s="4">
        <f t="shared" si="6"/>
        <v>25.090607256209839</v>
      </c>
      <c r="AS37" s="4">
        <f t="shared" si="7"/>
        <v>13.637731380563604</v>
      </c>
      <c r="AU37" s="23"/>
    </row>
    <row r="38" spans="2:47" x14ac:dyDescent="0.3">
      <c r="B38" s="24">
        <v>0.6875</v>
      </c>
      <c r="C38" s="4">
        <f>'BREAKDOWN CALL VOLUME'!W39</f>
        <v>46.761434294509399</v>
      </c>
      <c r="D38" s="4">
        <f>'BREAKDOWN CALL VOLUME'!X39</f>
        <v>43.760408756355361</v>
      </c>
      <c r="E38" s="4">
        <f>'BREAKDOWN CALL VOLUME'!Y39</f>
        <v>45.59202640918739</v>
      </c>
      <c r="F38" s="4">
        <f>'BREAKDOWN CALL VOLUME'!Z39</f>
        <v>38.672306366666909</v>
      </c>
      <c r="G38" s="4">
        <f>'BREAKDOWN CALL VOLUME'!AA39</f>
        <v>36.607551192689009</v>
      </c>
      <c r="H38" s="4">
        <f>'BREAKDOWN CALL VOLUME'!AB39</f>
        <v>23.595646470718947</v>
      </c>
      <c r="I38" s="4">
        <f>'BREAKDOWN CALL VOLUME'!AC39</f>
        <v>13.972307213353576</v>
      </c>
      <c r="K38" s="23">
        <v>0.6875</v>
      </c>
      <c r="L38" s="20">
        <f>'BREAKDOWN AHT'!X39</f>
        <v>1052.2252953091677</v>
      </c>
      <c r="M38" s="20">
        <f>'BREAKDOWN AHT'!Y39</f>
        <v>1250.7154267216551</v>
      </c>
      <c r="N38" s="20">
        <f>'BREAKDOWN AHT'!Z39</f>
        <v>1240.1500497810509</v>
      </c>
      <c r="O38" s="20">
        <f>'BREAKDOWN AHT'!AA39</f>
        <v>1219.1630425248845</v>
      </c>
      <c r="P38" s="20">
        <f>'BREAKDOWN AHT'!AB39</f>
        <v>1132.8192364161812</v>
      </c>
      <c r="Q38" s="20">
        <f>'BREAKDOWN AHT'!AC39</f>
        <v>1441.6588603194252</v>
      </c>
      <c r="R38" s="20">
        <f>'BREAKDOWN AHT'!AD39</f>
        <v>966.93563111744095</v>
      </c>
      <c r="T38" s="23">
        <v>0.6875</v>
      </c>
      <c r="U38" s="18">
        <f>'BREAKDOWN SHRINKAGE'!X39</f>
        <v>0.14999999999999997</v>
      </c>
      <c r="V38" s="18">
        <f>'BREAKDOWN SHRINKAGE'!Y39</f>
        <v>0.15</v>
      </c>
      <c r="W38" s="18">
        <f>'BREAKDOWN SHRINKAGE'!Z39</f>
        <v>0.15</v>
      </c>
      <c r="X38" s="18">
        <f>'BREAKDOWN SHRINKAGE'!AA39</f>
        <v>0.15</v>
      </c>
      <c r="Y38" s="18">
        <f>'BREAKDOWN SHRINKAGE'!AB39</f>
        <v>0.15</v>
      </c>
      <c r="Z38" s="18">
        <f>'BREAKDOWN SHRINKAGE'!AC39</f>
        <v>0.15</v>
      </c>
      <c r="AA38" s="18">
        <f>'BREAKDOWN SHRINKAGE'!AD39</f>
        <v>0.15</v>
      </c>
      <c r="AC38" s="23">
        <v>0.6875</v>
      </c>
      <c r="AD38" s="25">
        <v>0.75</v>
      </c>
      <c r="AE38" s="25">
        <v>0.75</v>
      </c>
      <c r="AF38" s="25">
        <v>0.75</v>
      </c>
      <c r="AG38" s="25">
        <v>0.75</v>
      </c>
      <c r="AH38" s="25">
        <v>0.75</v>
      </c>
      <c r="AI38" s="25">
        <v>0.75</v>
      </c>
      <c r="AJ38" s="25">
        <v>0.75</v>
      </c>
      <c r="AL38" s="23">
        <v>0.6875</v>
      </c>
      <c r="AM38" s="4">
        <f t="shared" si="1"/>
        <v>36.44708445157066</v>
      </c>
      <c r="AN38" s="4">
        <f t="shared" si="2"/>
        <v>40.542087637940043</v>
      </c>
      <c r="AO38" s="4">
        <f t="shared" si="3"/>
        <v>41.882188015535355</v>
      </c>
      <c r="AP38" s="4">
        <f t="shared" si="4"/>
        <v>34.924330882548219</v>
      </c>
      <c r="AQ38" s="4">
        <f t="shared" si="5"/>
        <v>30.718324584569054</v>
      </c>
      <c r="AR38" s="4">
        <f t="shared" si="6"/>
        <v>25.197683555167959</v>
      </c>
      <c r="AS38" s="4">
        <f t="shared" si="7"/>
        <v>10.007645698896898</v>
      </c>
      <c r="AU38" s="23"/>
    </row>
    <row r="39" spans="2:47" x14ac:dyDescent="0.3">
      <c r="B39" s="24">
        <v>0.69791666666666663</v>
      </c>
      <c r="C39" s="4">
        <f>'BREAKDOWN CALL VOLUME'!W40</f>
        <v>42.941947245949699</v>
      </c>
      <c r="D39" s="4">
        <f>'BREAKDOWN CALL VOLUME'!X40</f>
        <v>44.415177964679877</v>
      </c>
      <c r="E39" s="4">
        <f>'BREAKDOWN CALL VOLUME'!Y40</f>
        <v>43.304054459644327</v>
      </c>
      <c r="F39" s="4">
        <f>'BREAKDOWN CALL VOLUME'!Z40</f>
        <v>40.45804057118832</v>
      </c>
      <c r="G39" s="4">
        <f>'BREAKDOWN CALL VOLUME'!AA40</f>
        <v>35.770488284319605</v>
      </c>
      <c r="H39" s="4">
        <f>'BREAKDOWN CALL VOLUME'!AB40</f>
        <v>22.817109912040401</v>
      </c>
      <c r="I39" s="4">
        <f>'BREAKDOWN CALL VOLUME'!AC40</f>
        <v>13.679999531065842</v>
      </c>
      <c r="K39" s="23">
        <v>0.69791666666666663</v>
      </c>
      <c r="L39" s="20">
        <f>'BREAKDOWN AHT'!X40</f>
        <v>1228.7940664027142</v>
      </c>
      <c r="M39" s="20">
        <f>'BREAKDOWN AHT'!Y40</f>
        <v>1099.4221038647017</v>
      </c>
      <c r="N39" s="20">
        <f>'BREAKDOWN AHT'!Z40</f>
        <v>1123.3319591633938</v>
      </c>
      <c r="O39" s="20">
        <f>'BREAKDOWN AHT'!AA40</f>
        <v>1614.9454168078412</v>
      </c>
      <c r="P39" s="20">
        <f>'BREAKDOWN AHT'!AB40</f>
        <v>1045.8046127239479</v>
      </c>
      <c r="Q39" s="20">
        <f>'BREAKDOWN AHT'!AC40</f>
        <v>1436.747517297149</v>
      </c>
      <c r="R39" s="20">
        <f>'BREAKDOWN AHT'!AD40</f>
        <v>1224.6014565056489</v>
      </c>
      <c r="T39" s="23">
        <v>0.69791666666666663</v>
      </c>
      <c r="U39" s="18">
        <f>'BREAKDOWN SHRINKAGE'!X40</f>
        <v>0.14999999999999997</v>
      </c>
      <c r="V39" s="18">
        <f>'BREAKDOWN SHRINKAGE'!Y40</f>
        <v>0.15</v>
      </c>
      <c r="W39" s="18">
        <f>'BREAKDOWN SHRINKAGE'!Z40</f>
        <v>0.15</v>
      </c>
      <c r="X39" s="18">
        <f>'BREAKDOWN SHRINKAGE'!AA40</f>
        <v>0.15</v>
      </c>
      <c r="Y39" s="18">
        <f>'BREAKDOWN SHRINKAGE'!AB40</f>
        <v>0.15</v>
      </c>
      <c r="Z39" s="18">
        <f>'BREAKDOWN SHRINKAGE'!AC40</f>
        <v>0.15</v>
      </c>
      <c r="AA39" s="18">
        <f>'BREAKDOWN SHRINKAGE'!AD40</f>
        <v>0.15</v>
      </c>
      <c r="AC39" s="23">
        <v>0.69791666666666663</v>
      </c>
      <c r="AD39" s="25">
        <v>0.75</v>
      </c>
      <c r="AE39" s="25">
        <v>0.75</v>
      </c>
      <c r="AF39" s="25">
        <v>0.75</v>
      </c>
      <c r="AG39" s="25">
        <v>0.75</v>
      </c>
      <c r="AH39" s="25">
        <v>0.75</v>
      </c>
      <c r="AI39" s="25">
        <v>0.75</v>
      </c>
      <c r="AJ39" s="25">
        <v>0.75</v>
      </c>
      <c r="AL39" s="23">
        <v>0.69791666666666663</v>
      </c>
      <c r="AM39" s="4">
        <f t="shared" si="1"/>
        <v>39.08652590785286</v>
      </c>
      <c r="AN39" s="4">
        <f t="shared" si="2"/>
        <v>36.17113214922481</v>
      </c>
      <c r="AO39" s="4">
        <f t="shared" si="3"/>
        <v>36.033206174718934</v>
      </c>
      <c r="AP39" s="4">
        <f t="shared" si="4"/>
        <v>48.3981682914565</v>
      </c>
      <c r="AQ39" s="4">
        <f t="shared" si="5"/>
        <v>27.710327146021765</v>
      </c>
      <c r="AR39" s="4">
        <f t="shared" si="6"/>
        <v>24.283278531866827</v>
      </c>
      <c r="AS39" s="4">
        <f t="shared" si="7"/>
        <v>12.40929433388135</v>
      </c>
      <c r="AU39" s="23"/>
    </row>
    <row r="40" spans="2:47" x14ac:dyDescent="0.3">
      <c r="B40" s="24">
        <v>0.70833333333333337</v>
      </c>
      <c r="C40" s="4">
        <f>'BREAKDOWN CALL VOLUME'!W41</f>
        <v>47.361639402140206</v>
      </c>
      <c r="D40" s="4">
        <f>'BREAKDOWN CALL VOLUME'!X41</f>
        <v>44.797126669535842</v>
      </c>
      <c r="E40" s="4">
        <f>'BREAKDOWN CALL VOLUME'!Y41</f>
        <v>42.746012520731384</v>
      </c>
      <c r="F40" s="4">
        <f>'BREAKDOWN CALL VOLUME'!Z41</f>
        <v>40.011607020057973</v>
      </c>
      <c r="G40" s="4">
        <f>'BREAKDOWN CALL VOLUME'!AA41</f>
        <v>36.719159580471604</v>
      </c>
      <c r="H40" s="4">
        <f>'BREAKDOWN CALL VOLUME'!AB41</f>
        <v>22.996772194812376</v>
      </c>
      <c r="I40" s="4">
        <f>'BREAKDOWN CALL VOLUME'!AC41</f>
        <v>15.667691770622421</v>
      </c>
      <c r="K40" s="23">
        <v>0.70833333333333337</v>
      </c>
      <c r="L40" s="20">
        <f>'BREAKDOWN AHT'!X41</f>
        <v>1050.6680402045433</v>
      </c>
      <c r="M40" s="20">
        <f>'BREAKDOWN AHT'!Y41</f>
        <v>1116.9112765781738</v>
      </c>
      <c r="N40" s="20">
        <f>'BREAKDOWN AHT'!Z41</f>
        <v>1202.5842651033468</v>
      </c>
      <c r="O40" s="20">
        <f>'BREAKDOWN AHT'!AA41</f>
        <v>1355.4348430649245</v>
      </c>
      <c r="P40" s="20">
        <f>'BREAKDOWN AHT'!AB41</f>
        <v>1109.0531277425316</v>
      </c>
      <c r="Q40" s="20">
        <f>'BREAKDOWN AHT'!AC41</f>
        <v>1480.8298156434348</v>
      </c>
      <c r="R40" s="20">
        <f>'BREAKDOWN AHT'!AD41</f>
        <v>1241.1323183855061</v>
      </c>
      <c r="T40" s="23">
        <v>0.70833333333333337</v>
      </c>
      <c r="U40" s="18">
        <f>'BREAKDOWN SHRINKAGE'!X41</f>
        <v>0.14999999999999997</v>
      </c>
      <c r="V40" s="18">
        <f>'BREAKDOWN SHRINKAGE'!Y41</f>
        <v>0.15</v>
      </c>
      <c r="W40" s="18">
        <f>'BREAKDOWN SHRINKAGE'!Z41</f>
        <v>0.15</v>
      </c>
      <c r="X40" s="18">
        <f>'BREAKDOWN SHRINKAGE'!AA41</f>
        <v>0.15</v>
      </c>
      <c r="Y40" s="18">
        <f>'BREAKDOWN SHRINKAGE'!AB41</f>
        <v>0.15</v>
      </c>
      <c r="Z40" s="18">
        <f>'BREAKDOWN SHRINKAGE'!AC41</f>
        <v>0.15</v>
      </c>
      <c r="AA40" s="18">
        <f>'BREAKDOWN SHRINKAGE'!AD41</f>
        <v>0.15</v>
      </c>
      <c r="AC40" s="23">
        <v>0.70833333333333337</v>
      </c>
      <c r="AD40" s="25">
        <v>0.75</v>
      </c>
      <c r="AE40" s="25">
        <v>0.75</v>
      </c>
      <c r="AF40" s="25">
        <v>0.75</v>
      </c>
      <c r="AG40" s="25">
        <v>0.75</v>
      </c>
      <c r="AH40" s="25">
        <v>0.75</v>
      </c>
      <c r="AI40" s="25">
        <v>0.75</v>
      </c>
      <c r="AJ40" s="25">
        <v>0.75</v>
      </c>
      <c r="AL40" s="23">
        <v>0.70833333333333337</v>
      </c>
      <c r="AM40" s="4">
        <f t="shared" si="1"/>
        <v>36.860267297422908</v>
      </c>
      <c r="AN40" s="4">
        <f t="shared" si="2"/>
        <v>37.062530322596615</v>
      </c>
      <c r="AO40" s="4">
        <f t="shared" si="3"/>
        <v>38.078283002475708</v>
      </c>
      <c r="AP40" s="4">
        <f t="shared" si="4"/>
        <v>40.172686134820523</v>
      </c>
      <c r="AQ40" s="4">
        <f t="shared" si="5"/>
        <v>30.165554652443834</v>
      </c>
      <c r="AR40" s="4">
        <f t="shared" si="6"/>
        <v>25.225411799731912</v>
      </c>
      <c r="AS40" s="4">
        <f t="shared" si="7"/>
        <v>14.404206378534903</v>
      </c>
      <c r="AU40" s="23"/>
    </row>
    <row r="41" spans="2:47" x14ac:dyDescent="0.3">
      <c r="B41" s="24">
        <v>0.71875</v>
      </c>
      <c r="C41" s="4">
        <f>'BREAKDOWN CALL VOLUME'!W42</f>
        <v>52.272408464574099</v>
      </c>
      <c r="D41" s="4">
        <f>'BREAKDOWN CALL VOLUME'!X42</f>
        <v>42.559998541093734</v>
      </c>
      <c r="E41" s="4">
        <f>'BREAKDOWN CALL VOLUME'!Y42</f>
        <v>44.475942531361504</v>
      </c>
      <c r="F41" s="4">
        <f>'BREAKDOWN CALL VOLUME'!Z42</f>
        <v>42.857620908513972</v>
      </c>
      <c r="G41" s="4">
        <f>'BREAKDOWN CALL VOLUME'!AA42</f>
        <v>36.774963774362895</v>
      </c>
      <c r="H41" s="4">
        <f>'BREAKDOWN CALL VOLUME'!AB42</f>
        <v>19.283751684191628</v>
      </c>
      <c r="I41" s="4">
        <f>'BREAKDOWN CALL VOLUME'!AC42</f>
        <v>14.030768749811122</v>
      </c>
      <c r="K41" s="23">
        <v>0.71875</v>
      </c>
      <c r="L41" s="20">
        <f>'BREAKDOWN AHT'!X42</f>
        <v>996.40368925109931</v>
      </c>
      <c r="M41" s="20">
        <f>'BREAKDOWN AHT'!Y42</f>
        <v>1427.5237755236055</v>
      </c>
      <c r="N41" s="20">
        <f>'BREAKDOWN AHT'!Z42</f>
        <v>1102.3449519072271</v>
      </c>
      <c r="O41" s="20">
        <f>'BREAKDOWN AHT'!AA42</f>
        <v>1174.6974198451528</v>
      </c>
      <c r="P41" s="20">
        <f>'BREAKDOWN AHT'!AB42</f>
        <v>1123.5236213301168</v>
      </c>
      <c r="Q41" s="20">
        <f>'BREAKDOWN AHT'!AC42</f>
        <v>1338.7602345600246</v>
      </c>
      <c r="R41" s="20">
        <f>'BREAKDOWN AHT'!AD42</f>
        <v>1520.3601375300498</v>
      </c>
      <c r="T41" s="23">
        <v>0.71875</v>
      </c>
      <c r="U41" s="18">
        <f>'BREAKDOWN SHRINKAGE'!X42</f>
        <v>0.14999999999999997</v>
      </c>
      <c r="V41" s="18">
        <f>'BREAKDOWN SHRINKAGE'!Y42</f>
        <v>0.15</v>
      </c>
      <c r="W41" s="18">
        <f>'BREAKDOWN SHRINKAGE'!Z42</f>
        <v>0.15</v>
      </c>
      <c r="X41" s="18">
        <f>'BREAKDOWN SHRINKAGE'!AA42</f>
        <v>0.15</v>
      </c>
      <c r="Y41" s="18">
        <f>'BREAKDOWN SHRINKAGE'!AB42</f>
        <v>0.15</v>
      </c>
      <c r="Z41" s="18">
        <f>'BREAKDOWN SHRINKAGE'!AC42</f>
        <v>0.15</v>
      </c>
      <c r="AA41" s="18">
        <f>'BREAKDOWN SHRINKAGE'!AD42</f>
        <v>0.15</v>
      </c>
      <c r="AC41" s="23">
        <v>0.71875</v>
      </c>
      <c r="AD41" s="25">
        <v>0.75</v>
      </c>
      <c r="AE41" s="25">
        <v>0.75</v>
      </c>
      <c r="AF41" s="25">
        <v>0.75</v>
      </c>
      <c r="AG41" s="25">
        <v>0.75</v>
      </c>
      <c r="AH41" s="25">
        <v>0.75</v>
      </c>
      <c r="AI41" s="25">
        <v>0.75</v>
      </c>
      <c r="AJ41" s="25">
        <v>0.75</v>
      </c>
      <c r="AL41" s="23">
        <v>0.71875</v>
      </c>
      <c r="AM41" s="4">
        <f t="shared" si="1"/>
        <v>38.581052326031127</v>
      </c>
      <c r="AN41" s="4">
        <f t="shared" si="2"/>
        <v>45.00400726197131</v>
      </c>
      <c r="AO41" s="4">
        <f t="shared" si="3"/>
        <v>36.316911652416515</v>
      </c>
      <c r="AP41" s="4">
        <f t="shared" si="4"/>
        <v>37.292397556987432</v>
      </c>
      <c r="AQ41" s="4">
        <f t="shared" si="5"/>
        <v>30.605585536337824</v>
      </c>
      <c r="AR41" s="4">
        <f t="shared" si="6"/>
        <v>19.123199946611596</v>
      </c>
      <c r="AS41" s="4">
        <f t="shared" si="7"/>
        <v>15.801349263789009</v>
      </c>
      <c r="AU41" s="23"/>
    </row>
    <row r="42" spans="2:47" x14ac:dyDescent="0.3">
      <c r="B42" s="24">
        <v>0.72916666666666663</v>
      </c>
      <c r="C42" s="4">
        <f>'BREAKDOWN CALL VOLUME'!W43</f>
        <v>44.415177964679877</v>
      </c>
      <c r="D42" s="4">
        <f>'BREAKDOWN CALL VOLUME'!X43</f>
        <v>41.086767822363576</v>
      </c>
      <c r="E42" s="4">
        <f>'BREAKDOWN CALL VOLUME'!Y43</f>
        <v>43.248250265753036</v>
      </c>
      <c r="F42" s="4">
        <f>'BREAKDOWN CALL VOLUME'!Z43</f>
        <v>42.411187357383625</v>
      </c>
      <c r="G42" s="4">
        <f>'BREAKDOWN CALL VOLUME'!AA43</f>
        <v>36.830767968254193</v>
      </c>
      <c r="H42" s="4">
        <f>'BREAKDOWN CALL VOLUME'!AB43</f>
        <v>20.48150023600477</v>
      </c>
      <c r="I42" s="4">
        <f>'BREAKDOWN CALL VOLUME'!AC43</f>
        <v>12.919999557117739</v>
      </c>
      <c r="K42" s="23">
        <v>0.72916666666666663</v>
      </c>
      <c r="L42" s="20">
        <f>'BREAKDOWN AHT'!X43</f>
        <v>1538.2086768061274</v>
      </c>
      <c r="M42" s="20">
        <f>'BREAKDOWN AHT'!Y43</f>
        <v>1309.4119652805682</v>
      </c>
      <c r="N42" s="20">
        <f>'BREAKDOWN AHT'!Z43</f>
        <v>1490.5566706046261</v>
      </c>
      <c r="O42" s="20">
        <f>'BREAKDOWN AHT'!AA43</f>
        <v>1360.3222283163602</v>
      </c>
      <c r="P42" s="20">
        <f>'BREAKDOWN AHT'!AB43</f>
        <v>1247.6248742832474</v>
      </c>
      <c r="Q42" s="20">
        <f>'BREAKDOWN AHT'!AC43</f>
        <v>1318.5159181999097</v>
      </c>
      <c r="R42" s="20">
        <f>'BREAKDOWN AHT'!AD43</f>
        <v>965.13879830441294</v>
      </c>
      <c r="T42" s="23">
        <v>0.72916666666666663</v>
      </c>
      <c r="U42" s="18">
        <f>'BREAKDOWN SHRINKAGE'!X43</f>
        <v>0.14999999999999997</v>
      </c>
      <c r="V42" s="18">
        <f>'BREAKDOWN SHRINKAGE'!Y43</f>
        <v>0.15</v>
      </c>
      <c r="W42" s="18">
        <f>'BREAKDOWN SHRINKAGE'!Z43</f>
        <v>0.15</v>
      </c>
      <c r="X42" s="18">
        <f>'BREAKDOWN SHRINKAGE'!AA43</f>
        <v>0.15</v>
      </c>
      <c r="Y42" s="18">
        <f>'BREAKDOWN SHRINKAGE'!AB43</f>
        <v>0.15</v>
      </c>
      <c r="Z42" s="18">
        <f>'BREAKDOWN SHRINKAGE'!AC43</f>
        <v>0.15</v>
      </c>
      <c r="AA42" s="18">
        <f>'BREAKDOWN SHRINKAGE'!AD43</f>
        <v>0.15</v>
      </c>
      <c r="AC42" s="23">
        <v>0.72916666666666663</v>
      </c>
      <c r="AD42" s="25">
        <v>0.75</v>
      </c>
      <c r="AE42" s="25">
        <v>0.75</v>
      </c>
      <c r="AF42" s="25">
        <v>0.75</v>
      </c>
      <c r="AG42" s="25">
        <v>0.75</v>
      </c>
      <c r="AH42" s="25">
        <v>0.75</v>
      </c>
      <c r="AI42" s="25">
        <v>0.75</v>
      </c>
      <c r="AJ42" s="25">
        <v>0.75</v>
      </c>
      <c r="AL42" s="23">
        <v>0.72916666666666663</v>
      </c>
      <c r="AM42" s="4">
        <f t="shared" si="1"/>
        <v>50.607268242339927</v>
      </c>
      <c r="AN42" s="4">
        <f t="shared" si="2"/>
        <v>39.851485482450002</v>
      </c>
      <c r="AO42" s="4">
        <f t="shared" si="3"/>
        <v>47.751087352293688</v>
      </c>
      <c r="AP42" s="4">
        <f t="shared" si="4"/>
        <v>42.735467327065727</v>
      </c>
      <c r="AQ42" s="4">
        <f t="shared" si="5"/>
        <v>34.037764634184143</v>
      </c>
      <c r="AR42" s="4">
        <f t="shared" si="6"/>
        <v>20.003840066509259</v>
      </c>
      <c r="AS42" s="4">
        <f t="shared" si="7"/>
        <v>9.2367354419630843</v>
      </c>
      <c r="AU42" s="23"/>
    </row>
    <row r="43" spans="2:47" x14ac:dyDescent="0.3">
      <c r="B43" s="24">
        <v>0.73958333333333337</v>
      </c>
      <c r="C43" s="4">
        <f>'BREAKDOWN CALL VOLUME'!W44</f>
        <v>43.705844655661643</v>
      </c>
      <c r="D43" s="4">
        <f>'BREAKDOWN CALL VOLUME'!X44</f>
        <v>46.10666508618489</v>
      </c>
      <c r="E43" s="4">
        <f>'BREAKDOWN CALL VOLUME'!Y44</f>
        <v>44.141117368013738</v>
      </c>
      <c r="F43" s="4">
        <f>'BREAKDOWN CALL VOLUME'!Z44</f>
        <v>41.518320255122916</v>
      </c>
      <c r="G43" s="4">
        <f>'BREAKDOWN CALL VOLUME'!AA44</f>
        <v>32.310628263059357</v>
      </c>
      <c r="H43" s="4">
        <f>'BREAKDOWN CALL VOLUME'!AB44</f>
        <v>17.606903711653224</v>
      </c>
      <c r="I43" s="4">
        <f>'BREAKDOWN CALL VOLUME'!AC44</f>
        <v>12.803076484202649</v>
      </c>
      <c r="K43" s="23">
        <v>0.73958333333333337</v>
      </c>
      <c r="L43" s="20">
        <f>'BREAKDOWN AHT'!X44</f>
        <v>1416.6229897912358</v>
      </c>
      <c r="M43" s="20">
        <f>'BREAKDOWN AHT'!Y44</f>
        <v>1121.7028307462483</v>
      </c>
      <c r="N43" s="20">
        <f>'BREAKDOWN AHT'!Z44</f>
        <v>1488.3525556873119</v>
      </c>
      <c r="O43" s="20">
        <f>'BREAKDOWN AHT'!AA44</f>
        <v>1487.969231353866</v>
      </c>
      <c r="P43" s="20">
        <f>'BREAKDOWN AHT'!AB44</f>
        <v>1786.4830560249095</v>
      </c>
      <c r="Q43" s="20">
        <f>'BREAKDOWN AHT'!AC44</f>
        <v>1882.3620549280809</v>
      </c>
      <c r="R43" s="20">
        <f>'BREAKDOWN AHT'!AD44</f>
        <v>1175.0088708660776</v>
      </c>
      <c r="T43" s="23">
        <v>0.73958333333333337</v>
      </c>
      <c r="U43" s="18">
        <f>'BREAKDOWN SHRINKAGE'!X44</f>
        <v>0.14999999999999997</v>
      </c>
      <c r="V43" s="18">
        <f>'BREAKDOWN SHRINKAGE'!Y44</f>
        <v>0.15</v>
      </c>
      <c r="W43" s="18">
        <f>'BREAKDOWN SHRINKAGE'!Z44</f>
        <v>0.15</v>
      </c>
      <c r="X43" s="18">
        <f>'BREAKDOWN SHRINKAGE'!AA44</f>
        <v>0.15</v>
      </c>
      <c r="Y43" s="18">
        <f>'BREAKDOWN SHRINKAGE'!AB44</f>
        <v>0.15</v>
      </c>
      <c r="Z43" s="18">
        <f>'BREAKDOWN SHRINKAGE'!AC44</f>
        <v>0.15</v>
      </c>
      <c r="AA43" s="18">
        <f>'BREAKDOWN SHRINKAGE'!AD44</f>
        <v>0.15</v>
      </c>
      <c r="AC43" s="23">
        <v>0.73958333333333337</v>
      </c>
      <c r="AD43" s="25">
        <v>0.75</v>
      </c>
      <c r="AE43" s="25">
        <v>0.75</v>
      </c>
      <c r="AF43" s="25">
        <v>0.75</v>
      </c>
      <c r="AG43" s="25">
        <v>0.75</v>
      </c>
      <c r="AH43" s="25">
        <v>0.75</v>
      </c>
      <c r="AI43" s="25">
        <v>0.75</v>
      </c>
      <c r="AJ43" s="25">
        <v>0.75</v>
      </c>
      <c r="AL43" s="23">
        <v>0.73958333333333337</v>
      </c>
      <c r="AM43" s="4">
        <f t="shared" si="1"/>
        <v>45.862743946262746</v>
      </c>
      <c r="AN43" s="4">
        <f t="shared" si="2"/>
        <v>38.309612402550229</v>
      </c>
      <c r="AO43" s="4">
        <f t="shared" si="3"/>
        <v>48.66484803376062</v>
      </c>
      <c r="AP43" s="4">
        <f t="shared" si="4"/>
        <v>45.761468946013999</v>
      </c>
      <c r="AQ43" s="4">
        <f t="shared" si="5"/>
        <v>42.757325867759327</v>
      </c>
      <c r="AR43" s="4">
        <f t="shared" si="6"/>
        <v>24.550049964139568</v>
      </c>
      <c r="AS43" s="4">
        <f t="shared" si="7"/>
        <v>11.143502550603692</v>
      </c>
      <c r="AU43" s="23"/>
    </row>
    <row r="44" spans="2:47" x14ac:dyDescent="0.3">
      <c r="B44" s="24">
        <v>0.75</v>
      </c>
      <c r="C44" s="4">
        <f>'BREAKDOWN CALL VOLUME'!W45</f>
        <v>43.323895950805678</v>
      </c>
      <c r="D44" s="4">
        <f>'BREAKDOWN CALL VOLUME'!X45</f>
        <v>41.796101131381796</v>
      </c>
      <c r="E44" s="4">
        <f>'BREAKDOWN CALL VOLUME'!Y45</f>
        <v>44.978180276383156</v>
      </c>
      <c r="F44" s="4">
        <f>'BREAKDOWN CALL VOLUME'!Z45</f>
        <v>39.230348305579845</v>
      </c>
      <c r="G44" s="4">
        <f>'BREAKDOWN CALL VOLUME'!AA45</f>
        <v>35.379858927080541</v>
      </c>
      <c r="H44" s="4">
        <f>'BREAKDOWN CALL VOLUME'!AB45</f>
        <v>19.4634139669636</v>
      </c>
      <c r="I44" s="4">
        <f>'BREAKDOWN CALL VOLUME'!AC45</f>
        <v>12.978461093575289</v>
      </c>
      <c r="K44" s="23">
        <v>0.75</v>
      </c>
      <c r="L44" s="20">
        <f>'BREAKDOWN AHT'!X45</f>
        <v>1293.4800476717205</v>
      </c>
      <c r="M44" s="20">
        <f>'BREAKDOWN AHT'!Y45</f>
        <v>1037.9704216591458</v>
      </c>
      <c r="N44" s="20">
        <f>'BREAKDOWN AHT'!Z45</f>
        <v>1445.1327370912795</v>
      </c>
      <c r="O44" s="20">
        <f>'BREAKDOWN AHT'!AA45</f>
        <v>1167.7975818431255</v>
      </c>
      <c r="P44" s="20">
        <f>'BREAKDOWN AHT'!AB45</f>
        <v>1420.4083175840151</v>
      </c>
      <c r="Q44" s="20">
        <f>'BREAKDOWN AHT'!AC45</f>
        <v>1451.2419686555745</v>
      </c>
      <c r="R44" s="20">
        <f>'BREAKDOWN AHT'!AD45</f>
        <v>1311.9275312188074</v>
      </c>
      <c r="T44" s="23">
        <v>0.75</v>
      </c>
      <c r="U44" s="18">
        <f>'BREAKDOWN SHRINKAGE'!X45</f>
        <v>0.14999999999999997</v>
      </c>
      <c r="V44" s="18">
        <f>'BREAKDOWN SHRINKAGE'!Y45</f>
        <v>0.15</v>
      </c>
      <c r="W44" s="18">
        <f>'BREAKDOWN SHRINKAGE'!Z45</f>
        <v>0.15</v>
      </c>
      <c r="X44" s="18">
        <f>'BREAKDOWN SHRINKAGE'!AA45</f>
        <v>0.15</v>
      </c>
      <c r="Y44" s="18">
        <f>'BREAKDOWN SHRINKAGE'!AB45</f>
        <v>0.15</v>
      </c>
      <c r="Z44" s="18">
        <f>'BREAKDOWN SHRINKAGE'!AC45</f>
        <v>0.15</v>
      </c>
      <c r="AA44" s="18">
        <f>'BREAKDOWN SHRINKAGE'!AD45</f>
        <v>0.15</v>
      </c>
      <c r="AC44" s="23">
        <v>0.75</v>
      </c>
      <c r="AD44" s="25">
        <v>0.75</v>
      </c>
      <c r="AE44" s="25">
        <v>0.75</v>
      </c>
      <c r="AF44" s="25">
        <v>0.75</v>
      </c>
      <c r="AG44" s="25">
        <v>0.75</v>
      </c>
      <c r="AH44" s="25">
        <v>0.75</v>
      </c>
      <c r="AI44" s="25">
        <v>0.75</v>
      </c>
      <c r="AJ44" s="25">
        <v>0.75</v>
      </c>
      <c r="AL44" s="23">
        <v>0.75</v>
      </c>
      <c r="AM44" s="4">
        <f t="shared" si="1"/>
        <v>41.510070370202065</v>
      </c>
      <c r="AN44" s="4">
        <f t="shared" si="2"/>
        <v>32.135642011147162</v>
      </c>
      <c r="AO44" s="4">
        <f t="shared" si="3"/>
        <v>48.147733905329332</v>
      </c>
      <c r="AP44" s="4">
        <f t="shared" si="4"/>
        <v>33.935633989718298</v>
      </c>
      <c r="AQ44" s="4">
        <f t="shared" si="5"/>
        <v>37.225071033314272</v>
      </c>
      <c r="AR44" s="4">
        <f t="shared" si="6"/>
        <v>20.923054223833081</v>
      </c>
      <c r="AS44" s="4">
        <f t="shared" si="7"/>
        <v>12.612444756676721</v>
      </c>
      <c r="AU44" s="23"/>
    </row>
    <row r="45" spans="2:47" x14ac:dyDescent="0.3">
      <c r="B45" s="24">
        <v>0.76041666666666663</v>
      </c>
      <c r="C45" s="4">
        <f>'BREAKDOWN CALL VOLUME'!W46</f>
        <v>42.941947245949699</v>
      </c>
      <c r="D45" s="4">
        <f>'BREAKDOWN CALL VOLUME'!X46</f>
        <v>41.2504601244447</v>
      </c>
      <c r="E45" s="4">
        <f>'BREAKDOWN CALL VOLUME'!Y46</f>
        <v>40.960278316209973</v>
      </c>
      <c r="F45" s="4">
        <f>'BREAKDOWN CALL VOLUME'!Z46</f>
        <v>39.676781856710207</v>
      </c>
      <c r="G45" s="4">
        <f>'BREAKDOWN CALL VOLUME'!AA46</f>
        <v>31.361956966907357</v>
      </c>
      <c r="H45" s="4">
        <f>'BREAKDOWN CALL VOLUME'!AB46</f>
        <v>19.4634139669636</v>
      </c>
      <c r="I45" s="4">
        <f>'BREAKDOWN CALL VOLUME'!AC46</f>
        <v>12.335384192542277</v>
      </c>
      <c r="K45" s="23">
        <v>0.76041666666666663</v>
      </c>
      <c r="L45" s="20">
        <f>'BREAKDOWN AHT'!X46</f>
        <v>1306.2974550713197</v>
      </c>
      <c r="M45" s="20">
        <f>'BREAKDOWN AHT'!Y46</f>
        <v>1401.2900164533976</v>
      </c>
      <c r="N45" s="20">
        <f>'BREAKDOWN AHT'!Z46</f>
        <v>1217.9172384411852</v>
      </c>
      <c r="O45" s="20">
        <f>'BREAKDOWN AHT'!AA46</f>
        <v>1092.9535057378014</v>
      </c>
      <c r="P45" s="20">
        <f>'BREAKDOWN AHT'!AB46</f>
        <v>1701.1933918331829</v>
      </c>
      <c r="Q45" s="20">
        <f>'BREAKDOWN AHT'!AC46</f>
        <v>1368.5876592562886</v>
      </c>
      <c r="R45" s="20">
        <f>'BREAKDOWN AHT'!AD46</f>
        <v>1290.0061708998664</v>
      </c>
      <c r="T45" s="23">
        <v>0.76041666666666663</v>
      </c>
      <c r="U45" s="18">
        <f>'BREAKDOWN SHRINKAGE'!X46</f>
        <v>0.14999999999999997</v>
      </c>
      <c r="V45" s="18">
        <f>'BREAKDOWN SHRINKAGE'!Y46</f>
        <v>0.15</v>
      </c>
      <c r="W45" s="18">
        <f>'BREAKDOWN SHRINKAGE'!Z46</f>
        <v>0.15</v>
      </c>
      <c r="X45" s="18">
        <f>'BREAKDOWN SHRINKAGE'!AA46</f>
        <v>0.15</v>
      </c>
      <c r="Y45" s="18">
        <f>'BREAKDOWN SHRINKAGE'!AB46</f>
        <v>0.15</v>
      </c>
      <c r="Z45" s="18">
        <f>'BREAKDOWN SHRINKAGE'!AC46</f>
        <v>0.15</v>
      </c>
      <c r="AA45" s="18">
        <f>'BREAKDOWN SHRINKAGE'!AD46</f>
        <v>0.15</v>
      </c>
      <c r="AC45" s="23">
        <v>0.76041666666666663</v>
      </c>
      <c r="AD45" s="25">
        <v>0.75</v>
      </c>
      <c r="AE45" s="25">
        <v>0.75</v>
      </c>
      <c r="AF45" s="25">
        <v>0.75</v>
      </c>
      <c r="AG45" s="25">
        <v>0.75</v>
      </c>
      <c r="AH45" s="25">
        <v>0.75</v>
      </c>
      <c r="AI45" s="25">
        <v>0.75</v>
      </c>
      <c r="AJ45" s="25">
        <v>0.75</v>
      </c>
      <c r="AL45" s="23">
        <v>0.76041666666666663</v>
      </c>
      <c r="AM45" s="4">
        <f t="shared" si="1"/>
        <v>41.551819557919231</v>
      </c>
      <c r="AN45" s="4">
        <f t="shared" si="2"/>
        <v>42.81767255295803</v>
      </c>
      <c r="AO45" s="4">
        <f t="shared" si="3"/>
        <v>36.952762261230234</v>
      </c>
      <c r="AP45" s="4">
        <f t="shared" si="4"/>
        <v>32.122131723470673</v>
      </c>
      <c r="AQ45" s="4">
        <f t="shared" si="5"/>
        <v>39.520558479303297</v>
      </c>
      <c r="AR45" s="4">
        <f t="shared" si="6"/>
        <v>19.731398638653975</v>
      </c>
      <c r="AS45" s="4">
        <f t="shared" si="7"/>
        <v>11.787201280592743</v>
      </c>
      <c r="AU45" s="23"/>
    </row>
    <row r="46" spans="2:47" x14ac:dyDescent="0.3">
      <c r="B46" s="24">
        <v>0.77083333333333337</v>
      </c>
      <c r="C46" s="4">
        <f>'BREAKDOWN CALL VOLUME'!W47</f>
        <v>39.231588398777433</v>
      </c>
      <c r="D46" s="4">
        <f>'BREAKDOWN CALL VOLUME'!X47</f>
        <v>39.558973002939695</v>
      </c>
      <c r="E46" s="4">
        <f>'BREAKDOWN CALL VOLUME'!Y47</f>
        <v>40.011607020057973</v>
      </c>
      <c r="F46" s="4">
        <f>'BREAKDOWN CALL VOLUME'!Z47</f>
        <v>38.281677009427852</v>
      </c>
      <c r="G46" s="4">
        <f>'BREAKDOWN CALL VOLUME'!AA47</f>
        <v>28.069509527320999</v>
      </c>
      <c r="H46" s="4">
        <f>'BREAKDOWN CALL VOLUME'!AB47</f>
        <v>16.349267732249423</v>
      </c>
      <c r="I46" s="4">
        <f>'BREAKDOWN CALL VOLUME'!AC47</f>
        <v>12.101538046712092</v>
      </c>
      <c r="K46" s="23">
        <v>0.77083333333333337</v>
      </c>
      <c r="L46" s="20">
        <f>'BREAKDOWN AHT'!X47</f>
        <v>1333.1301584125372</v>
      </c>
      <c r="M46" s="20">
        <f>'BREAKDOWN AHT'!Y47</f>
        <v>1490.5327128337856</v>
      </c>
      <c r="N46" s="20">
        <f>'BREAKDOWN AHT'!Z47</f>
        <v>1341.0601805607007</v>
      </c>
      <c r="O46" s="20">
        <f>'BREAKDOWN AHT'!AA47</f>
        <v>1320.5523287213416</v>
      </c>
      <c r="P46" s="20">
        <f>'BREAKDOWN AHT'!AB47</f>
        <v>1310.3942338850238</v>
      </c>
      <c r="Q46" s="20">
        <f>'BREAKDOWN AHT'!AC47</f>
        <v>1139.3117923139223</v>
      </c>
      <c r="R46" s="20">
        <f>'BREAKDOWN AHT'!AD47</f>
        <v>1420.4562331256957</v>
      </c>
      <c r="T46" s="23">
        <v>0.77083333333333337</v>
      </c>
      <c r="U46" s="18">
        <f>'BREAKDOWN SHRINKAGE'!X47</f>
        <v>0.14999999999999997</v>
      </c>
      <c r="V46" s="18">
        <f>'BREAKDOWN SHRINKAGE'!Y47</f>
        <v>0.15</v>
      </c>
      <c r="W46" s="18">
        <f>'BREAKDOWN SHRINKAGE'!Z47</f>
        <v>0.15</v>
      </c>
      <c r="X46" s="18">
        <f>'BREAKDOWN SHRINKAGE'!AA47</f>
        <v>0.15</v>
      </c>
      <c r="Y46" s="18">
        <f>'BREAKDOWN SHRINKAGE'!AB47</f>
        <v>0.15</v>
      </c>
      <c r="Z46" s="18">
        <f>'BREAKDOWN SHRINKAGE'!AC47</f>
        <v>0.15</v>
      </c>
      <c r="AA46" s="18">
        <f>'BREAKDOWN SHRINKAGE'!AD47</f>
        <v>0.15</v>
      </c>
      <c r="AC46" s="23">
        <v>0.77083333333333337</v>
      </c>
      <c r="AD46" s="25">
        <v>0.75</v>
      </c>
      <c r="AE46" s="25">
        <v>0.75</v>
      </c>
      <c r="AF46" s="25">
        <v>0.75</v>
      </c>
      <c r="AG46" s="25">
        <v>0.75</v>
      </c>
      <c r="AH46" s="25">
        <v>0.75</v>
      </c>
      <c r="AI46" s="25">
        <v>0.75</v>
      </c>
      <c r="AJ46" s="25">
        <v>0.75</v>
      </c>
      <c r="AL46" s="23">
        <v>0.77083333333333337</v>
      </c>
      <c r="AM46" s="4">
        <f t="shared" si="1"/>
        <v>38.741343449509344</v>
      </c>
      <c r="AN46" s="4">
        <f t="shared" si="2"/>
        <v>43.67699507184458</v>
      </c>
      <c r="AO46" s="4">
        <f t="shared" si="3"/>
        <v>39.746646618402032</v>
      </c>
      <c r="AP46" s="4">
        <f t="shared" si="4"/>
        <v>37.446635349746806</v>
      </c>
      <c r="AQ46" s="4">
        <f t="shared" si="5"/>
        <v>27.246017357468279</v>
      </c>
      <c r="AR46" s="4">
        <f t="shared" si="6"/>
        <v>13.797713720777233</v>
      </c>
      <c r="AS46" s="4">
        <f t="shared" si="7"/>
        <v>12.733114925081441</v>
      </c>
      <c r="AU46" s="23"/>
    </row>
    <row r="47" spans="2:47" x14ac:dyDescent="0.3">
      <c r="B47" s="24">
        <v>0.78125</v>
      </c>
      <c r="C47" s="4">
        <f>'BREAKDOWN CALL VOLUME'!W48</f>
        <v>36.285126961317097</v>
      </c>
      <c r="D47" s="4">
        <f>'BREAKDOWN CALL VOLUME'!X48</f>
        <v>39.668101204327108</v>
      </c>
      <c r="E47" s="4">
        <f>'BREAKDOWN CALL VOLUME'!Y48</f>
        <v>37.667830876623611</v>
      </c>
      <c r="F47" s="4">
        <f>'BREAKDOWN CALL VOLUME'!Z48</f>
        <v>38.56069797888432</v>
      </c>
      <c r="G47" s="4">
        <f>'BREAKDOWN CALL VOLUME'!AA48</f>
        <v>29.632026956277237</v>
      </c>
      <c r="H47" s="4">
        <f>'BREAKDOWN CALL VOLUME'!AB48</f>
        <v>14.133432911395106</v>
      </c>
      <c r="I47" s="4">
        <f>'BREAKDOWN CALL VOLUME'!AC48</f>
        <v>9.5292304425800527</v>
      </c>
      <c r="K47" s="23">
        <v>0.78125</v>
      </c>
      <c r="L47" s="20">
        <f>'BREAKDOWN AHT'!X48</f>
        <v>1364.1554716508199</v>
      </c>
      <c r="M47" s="20">
        <f>'BREAKDOWN AHT'!Y48</f>
        <v>1598.9416258864719</v>
      </c>
      <c r="N47" s="20">
        <f>'BREAKDOWN AHT'!Z48</f>
        <v>1262.7661854543626</v>
      </c>
      <c r="O47" s="20">
        <f>'BREAKDOWN AHT'!AA48</f>
        <v>1358.4056066491303</v>
      </c>
      <c r="P47" s="20">
        <f>'BREAKDOWN AHT'!AB48</f>
        <v>1634.1116334801393</v>
      </c>
      <c r="Q47" s="20">
        <f>'BREAKDOWN AHT'!AC48</f>
        <v>1899.0127056621398</v>
      </c>
      <c r="R47" s="20">
        <f>'BREAKDOWN AHT'!AD48</f>
        <v>1366.6710375890589</v>
      </c>
      <c r="T47" s="23">
        <v>0.78125</v>
      </c>
      <c r="U47" s="18">
        <f>'BREAKDOWN SHRINKAGE'!X48</f>
        <v>0.14999999999999997</v>
      </c>
      <c r="V47" s="18">
        <f>'BREAKDOWN SHRINKAGE'!Y48</f>
        <v>0.15</v>
      </c>
      <c r="W47" s="18">
        <f>'BREAKDOWN SHRINKAGE'!Z48</f>
        <v>0.15</v>
      </c>
      <c r="X47" s="18">
        <f>'BREAKDOWN SHRINKAGE'!AA48</f>
        <v>0.15</v>
      </c>
      <c r="Y47" s="18">
        <f>'BREAKDOWN SHRINKAGE'!AB48</f>
        <v>0.15</v>
      </c>
      <c r="Z47" s="18">
        <f>'BREAKDOWN SHRINKAGE'!AC48</f>
        <v>0.15</v>
      </c>
      <c r="AA47" s="18">
        <f>'BREAKDOWN SHRINKAGE'!AD48</f>
        <v>0.15</v>
      </c>
      <c r="AC47" s="23">
        <v>0.78125</v>
      </c>
      <c r="AD47" s="25">
        <v>0.75</v>
      </c>
      <c r="AE47" s="25">
        <v>0.75</v>
      </c>
      <c r="AF47" s="25">
        <v>0.75</v>
      </c>
      <c r="AG47" s="25">
        <v>0.75</v>
      </c>
      <c r="AH47" s="25">
        <v>0.75</v>
      </c>
      <c r="AI47" s="25">
        <v>0.75</v>
      </c>
      <c r="AJ47" s="25">
        <v>0.75</v>
      </c>
      <c r="AL47" s="23">
        <v>0.78125</v>
      </c>
      <c r="AM47" s="4">
        <f t="shared" si="1"/>
        <v>36.665595913944749</v>
      </c>
      <c r="AN47" s="4">
        <f t="shared" si="2"/>
        <v>46.982946841093259</v>
      </c>
      <c r="AO47" s="4">
        <f t="shared" si="3"/>
        <v>35.233824526232631</v>
      </c>
      <c r="AP47" s="4">
        <f t="shared" si="4"/>
        <v>38.800791356163145</v>
      </c>
      <c r="AQ47" s="4">
        <f t="shared" si="5"/>
        <v>35.868177757666452</v>
      </c>
      <c r="AR47" s="4">
        <f t="shared" si="6"/>
        <v>19.881161980268704</v>
      </c>
      <c r="AS47" s="4">
        <f t="shared" si="7"/>
        <v>9.6469061158415759</v>
      </c>
      <c r="AU47" s="23"/>
    </row>
    <row r="48" spans="2:47" x14ac:dyDescent="0.3">
      <c r="B48" s="24">
        <v>0.79166666666666663</v>
      </c>
      <c r="C48" s="4">
        <f>'BREAKDOWN CALL VOLUME'!W49</f>
        <v>34.157127034262416</v>
      </c>
      <c r="D48" s="4">
        <f>'BREAKDOWN CALL VOLUME'!X49</f>
        <v>34.266255235649837</v>
      </c>
      <c r="E48" s="4">
        <f>'BREAKDOWN CALL VOLUME'!Y49</f>
        <v>35.882096672102193</v>
      </c>
      <c r="F48" s="4">
        <f>'BREAKDOWN CALL VOLUME'!Z49</f>
        <v>30.9713276096683</v>
      </c>
      <c r="G48" s="4">
        <f>'BREAKDOWN CALL VOLUME'!AA49</f>
        <v>25.614124996104053</v>
      </c>
      <c r="H48" s="4">
        <f>'BREAKDOWN CALL VOLUME'!AB49</f>
        <v>14.792194614892335</v>
      </c>
      <c r="I48" s="4">
        <f>'BREAKDOWN CALL VOLUME'!AC49</f>
        <v>10.69846117173098</v>
      </c>
      <c r="K48" s="23">
        <v>0.79166666666666663</v>
      </c>
      <c r="L48" s="20">
        <f>'BREAKDOWN AHT'!X49</f>
        <v>1393.5037409302763</v>
      </c>
      <c r="M48" s="20">
        <f>'BREAKDOWN AHT'!Y49</f>
        <v>1527.188102219556</v>
      </c>
      <c r="N48" s="20">
        <f>'BREAKDOWN AHT'!Z49</f>
        <v>1421.5582905843528</v>
      </c>
      <c r="O48" s="20">
        <f>'BREAKDOWN AHT'!AA49</f>
        <v>1408.5252632471902</v>
      </c>
      <c r="P48" s="20">
        <f>'BREAKDOWN AHT'!AB49</f>
        <v>1525.4391849482088</v>
      </c>
      <c r="Q48" s="20">
        <f>'BREAKDOWN AHT'!AC49</f>
        <v>1309.5317541347702</v>
      </c>
      <c r="R48" s="20">
        <f>'BREAKDOWN AHT'!AD49</f>
        <v>1198.8468528522485</v>
      </c>
      <c r="T48" s="23">
        <v>0.79166666666666663</v>
      </c>
      <c r="U48" s="18">
        <f>'BREAKDOWN SHRINKAGE'!X49</f>
        <v>0.14999999999999997</v>
      </c>
      <c r="V48" s="18">
        <f>'BREAKDOWN SHRINKAGE'!Y49</f>
        <v>0.15</v>
      </c>
      <c r="W48" s="18">
        <f>'BREAKDOWN SHRINKAGE'!Z49</f>
        <v>0.15</v>
      </c>
      <c r="X48" s="18">
        <f>'BREAKDOWN SHRINKAGE'!AA49</f>
        <v>0.15</v>
      </c>
      <c r="Y48" s="18">
        <f>'BREAKDOWN SHRINKAGE'!AB49</f>
        <v>0.15</v>
      </c>
      <c r="Z48" s="18">
        <f>'BREAKDOWN SHRINKAGE'!AC49</f>
        <v>0.15</v>
      </c>
      <c r="AA48" s="18">
        <f>'BREAKDOWN SHRINKAGE'!AD49</f>
        <v>0.15</v>
      </c>
      <c r="AC48" s="23">
        <v>0.79166666666666663</v>
      </c>
      <c r="AD48" s="25">
        <v>0.75</v>
      </c>
      <c r="AE48" s="25">
        <v>0.75</v>
      </c>
      <c r="AF48" s="25">
        <v>0.75</v>
      </c>
      <c r="AG48" s="25">
        <v>0.75</v>
      </c>
      <c r="AH48" s="25">
        <v>0.75</v>
      </c>
      <c r="AI48" s="25">
        <v>0.75</v>
      </c>
      <c r="AJ48" s="25">
        <v>0.75</v>
      </c>
      <c r="AL48" s="23">
        <v>0.79166666666666663</v>
      </c>
      <c r="AM48" s="4">
        <f t="shared" si="1"/>
        <v>35.257840223463219</v>
      </c>
      <c r="AN48" s="4">
        <f t="shared" si="2"/>
        <v>38.763716521113331</v>
      </c>
      <c r="AO48" s="4">
        <f t="shared" si="3"/>
        <v>37.784068153908215</v>
      </c>
      <c r="AP48" s="4">
        <f t="shared" si="4"/>
        <v>32.313998055202227</v>
      </c>
      <c r="AQ48" s="4">
        <f t="shared" si="5"/>
        <v>28.942807375717411</v>
      </c>
      <c r="AR48" s="4">
        <f t="shared" si="6"/>
        <v>14.348776712253969</v>
      </c>
      <c r="AS48" s="4">
        <f t="shared" si="7"/>
        <v>9.5006048193271582</v>
      </c>
      <c r="AU48" s="23"/>
    </row>
    <row r="49" spans="2:47" x14ac:dyDescent="0.3">
      <c r="B49" s="24">
        <v>0.80208333333333337</v>
      </c>
      <c r="C49" s="4">
        <f>'BREAKDOWN CALL VOLUME'!W50</f>
        <v>31.156101496108363</v>
      </c>
      <c r="D49" s="4">
        <f>'BREAKDOWN CALL VOLUME'!X50</f>
        <v>31.319793798189497</v>
      </c>
      <c r="E49" s="4">
        <f>'BREAKDOWN CALL VOLUME'!Y50</f>
        <v>33.873145692015598</v>
      </c>
      <c r="F49" s="4">
        <f>'BREAKDOWN CALL VOLUME'!Z50</f>
        <v>33.091886977537484</v>
      </c>
      <c r="G49" s="4">
        <f>'BREAKDOWN CALL VOLUME'!AA50</f>
        <v>25.335104026647578</v>
      </c>
      <c r="H49" s="4">
        <f>'BREAKDOWN CALL VOLUME'!AB50</f>
        <v>12.037372945722103</v>
      </c>
      <c r="I49" s="4">
        <f>'BREAKDOWN CALL VOLUME'!AC50</f>
        <v>10.756922708188528</v>
      </c>
      <c r="K49" s="23">
        <v>0.80208333333333337</v>
      </c>
      <c r="L49" s="20">
        <f>'BREAKDOWN AHT'!X50</f>
        <v>1389.3111310332113</v>
      </c>
      <c r="M49" s="20">
        <f>'BREAKDOWN AHT'!Y50</f>
        <v>1364.6346270676272</v>
      </c>
      <c r="N49" s="20">
        <f>'BREAKDOWN AHT'!Z50</f>
        <v>1784.8539276077638</v>
      </c>
      <c r="O49" s="20">
        <f>'BREAKDOWN AHT'!AA50</f>
        <v>1302.8235782994659</v>
      </c>
      <c r="P49" s="20">
        <f>'BREAKDOWN AHT'!AB50</f>
        <v>1558.9800641247305</v>
      </c>
      <c r="Q49" s="20">
        <f>'BREAKDOWN AHT'!AC50</f>
        <v>1384.5195768651365</v>
      </c>
      <c r="R49" s="20">
        <f>'BREAKDOWN AHT'!AD50</f>
        <v>1065.1624915629689</v>
      </c>
      <c r="T49" s="23">
        <v>0.80208333333333337</v>
      </c>
      <c r="U49" s="18">
        <f>'BREAKDOWN SHRINKAGE'!X50</f>
        <v>0.14999999999999997</v>
      </c>
      <c r="V49" s="18">
        <f>'BREAKDOWN SHRINKAGE'!Y50</f>
        <v>0.15</v>
      </c>
      <c r="W49" s="18">
        <f>'BREAKDOWN SHRINKAGE'!Z50</f>
        <v>0.15</v>
      </c>
      <c r="X49" s="18">
        <f>'BREAKDOWN SHRINKAGE'!AA50</f>
        <v>0.15</v>
      </c>
      <c r="Y49" s="18">
        <f>'BREAKDOWN SHRINKAGE'!AB50</f>
        <v>0.15</v>
      </c>
      <c r="Z49" s="18">
        <f>'BREAKDOWN SHRINKAGE'!AC50</f>
        <v>0.15</v>
      </c>
      <c r="AA49" s="18">
        <f>'BREAKDOWN SHRINKAGE'!AD50</f>
        <v>0.15</v>
      </c>
      <c r="AC49" s="23">
        <v>0.80208333333333337</v>
      </c>
      <c r="AD49" s="25">
        <v>0.75</v>
      </c>
      <c r="AE49" s="25">
        <v>0.75</v>
      </c>
      <c r="AF49" s="25">
        <v>0.75</v>
      </c>
      <c r="AG49" s="25">
        <v>0.75</v>
      </c>
      <c r="AH49" s="25">
        <v>0.75</v>
      </c>
      <c r="AI49" s="25">
        <v>0.75</v>
      </c>
      <c r="AJ49" s="25">
        <v>0.75</v>
      </c>
      <c r="AL49" s="23">
        <v>0.80208333333333337</v>
      </c>
      <c r="AM49" s="4">
        <f t="shared" si="1"/>
        <v>32.063347117143586</v>
      </c>
      <c r="AN49" s="4">
        <f t="shared" si="2"/>
        <v>31.659314910835043</v>
      </c>
      <c r="AO49" s="4">
        <f t="shared" si="3"/>
        <v>44.78416083616596</v>
      </c>
      <c r="AP49" s="4">
        <f t="shared" si="4"/>
        <v>31.935474522042135</v>
      </c>
      <c r="AQ49" s="4">
        <f t="shared" si="5"/>
        <v>29.256979333385004</v>
      </c>
      <c r="AR49" s="4">
        <f t="shared" si="6"/>
        <v>12.345169257317783</v>
      </c>
      <c r="AS49" s="4">
        <f t="shared" si="7"/>
        <v>8.4873115506699044</v>
      </c>
      <c r="AU49" s="23"/>
    </row>
    <row r="50" spans="2:47" x14ac:dyDescent="0.3">
      <c r="B50" s="24">
        <v>0.8125</v>
      </c>
      <c r="C50" s="4">
        <f>'BREAKDOWN CALL VOLUME'!W51</f>
        <v>29.137229770441095</v>
      </c>
      <c r="D50" s="4">
        <f>'BREAKDOWN CALL VOLUME'!X51</f>
        <v>32.301947610676272</v>
      </c>
      <c r="E50" s="4">
        <f>'BREAKDOWN CALL VOLUME'!Y51</f>
        <v>30.971327609668297</v>
      </c>
      <c r="F50" s="4">
        <f>'BREAKDOWN CALL VOLUME'!Z51</f>
        <v>28.460138884560063</v>
      </c>
      <c r="G50" s="4">
        <f>'BREAKDOWN CALL VOLUME'!AA51</f>
        <v>20.703355933670156</v>
      </c>
      <c r="H50" s="4">
        <f>'BREAKDOWN CALL VOLUME'!AB51</f>
        <v>11.378611242224872</v>
      </c>
      <c r="I50" s="4">
        <f>'BREAKDOWN CALL VOLUME'!AC51</f>
        <v>7.8923074217687557</v>
      </c>
      <c r="K50" s="23">
        <v>0.8125</v>
      </c>
      <c r="L50" s="20">
        <f>'BREAKDOWN AHT'!X51</f>
        <v>1308.9328098637607</v>
      </c>
      <c r="M50" s="20">
        <f>'BREAKDOWN AHT'!Y51</f>
        <v>1142.5460913773727</v>
      </c>
      <c r="N50" s="20">
        <f>'BREAKDOWN AHT'!Z51</f>
        <v>1217.5339141077391</v>
      </c>
      <c r="O50" s="20">
        <f>'BREAKDOWN AHT'!AA51</f>
        <v>1264.6828071215925</v>
      </c>
      <c r="P50" s="20">
        <f>'BREAKDOWN AHT'!AB51</f>
        <v>1320.8398219714261</v>
      </c>
      <c r="Q50" s="20">
        <f>'BREAKDOWN AHT'!AC51</f>
        <v>2860.6776271946987</v>
      </c>
      <c r="R50" s="20">
        <f>'BREAKDOWN AHT'!AD51</f>
        <v>1955.9124114080246</v>
      </c>
      <c r="T50" s="23">
        <v>0.8125</v>
      </c>
      <c r="U50" s="18">
        <f>'BREAKDOWN SHRINKAGE'!X51</f>
        <v>0.14999999999999997</v>
      </c>
      <c r="V50" s="18">
        <f>'BREAKDOWN SHRINKAGE'!Y51</f>
        <v>0.15</v>
      </c>
      <c r="W50" s="18">
        <f>'BREAKDOWN SHRINKAGE'!Z51</f>
        <v>0.15</v>
      </c>
      <c r="X50" s="18">
        <f>'BREAKDOWN SHRINKAGE'!AA51</f>
        <v>0.15</v>
      </c>
      <c r="Y50" s="18">
        <f>'BREAKDOWN SHRINKAGE'!AB51</f>
        <v>0.15</v>
      </c>
      <c r="Z50" s="18">
        <f>'BREAKDOWN SHRINKAGE'!AC51</f>
        <v>0.15</v>
      </c>
      <c r="AA50" s="18">
        <f>'BREAKDOWN SHRINKAGE'!AD51</f>
        <v>0.15</v>
      </c>
      <c r="AC50" s="23">
        <v>0.8125</v>
      </c>
      <c r="AD50" s="25">
        <v>0.75</v>
      </c>
      <c r="AE50" s="25">
        <v>0.75</v>
      </c>
      <c r="AF50" s="25">
        <v>0.75</v>
      </c>
      <c r="AG50" s="25">
        <v>0.75</v>
      </c>
      <c r="AH50" s="25">
        <v>0.75</v>
      </c>
      <c r="AI50" s="25">
        <v>0.75</v>
      </c>
      <c r="AJ50" s="25">
        <v>0.75</v>
      </c>
      <c r="AL50" s="23">
        <v>0.8125</v>
      </c>
      <c r="AM50" s="4">
        <f t="shared" si="1"/>
        <v>28.250871137088506</v>
      </c>
      <c r="AN50" s="4">
        <f t="shared" si="2"/>
        <v>27.338121471448027</v>
      </c>
      <c r="AO50" s="4">
        <f t="shared" si="3"/>
        <v>27.932327207194465</v>
      </c>
      <c r="AP50" s="4">
        <f t="shared" si="4"/>
        <v>26.661517285626527</v>
      </c>
      <c r="AQ50" s="4">
        <f t="shared" si="5"/>
        <v>20.256160715288857</v>
      </c>
      <c r="AR50" s="4">
        <f t="shared" si="6"/>
        <v>24.111510080873167</v>
      </c>
      <c r="AS50" s="4">
        <f t="shared" si="7"/>
        <v>11.434564474729759</v>
      </c>
      <c r="AU50" s="23"/>
    </row>
    <row r="51" spans="2:47" x14ac:dyDescent="0.3">
      <c r="B51" s="24">
        <v>0.82291666666666663</v>
      </c>
      <c r="C51" s="4">
        <f>'BREAKDOWN CALL VOLUME'!W52</f>
        <v>28.537024662810289</v>
      </c>
      <c r="D51" s="4">
        <f>'BREAKDOWN CALL VOLUME'!X52</f>
        <v>28.809845166278837</v>
      </c>
      <c r="E51" s="4">
        <f>'BREAKDOWN CALL VOLUME'!Y52</f>
        <v>25.893145965560528</v>
      </c>
      <c r="F51" s="4">
        <f>'BREAKDOWN CALL VOLUME'!Z52</f>
        <v>24.051607567147816</v>
      </c>
      <c r="G51" s="4">
        <f>'BREAKDOWN CALL VOLUME'!AA52</f>
        <v>18.861817535257451</v>
      </c>
      <c r="H51" s="4">
        <f>'BREAKDOWN CALL VOLUME'!AB52</f>
        <v>11.43849866981553</v>
      </c>
      <c r="I51" s="4">
        <f>'BREAKDOWN CALL VOLUME'!AC52</f>
        <v>7.3661535936508393</v>
      </c>
      <c r="K51" s="23">
        <v>0.82291666666666663</v>
      </c>
      <c r="L51" s="20">
        <f>'BREAKDOWN AHT'!X52</f>
        <v>1037.8506328049441</v>
      </c>
      <c r="M51" s="20">
        <f>'BREAKDOWN AHT'!Y52</f>
        <v>1083.3703974016521</v>
      </c>
      <c r="N51" s="20">
        <f>'BREAKDOWN AHT'!Z52</f>
        <v>1375.5593705708372</v>
      </c>
      <c r="O51" s="20">
        <f>'BREAKDOWN AHT'!AA52</f>
        <v>1712.0223042530313</v>
      </c>
      <c r="P51" s="20">
        <f>'BREAKDOWN AHT'!AB52</f>
        <v>1275.9908749582485</v>
      </c>
      <c r="Q51" s="20">
        <f>'BREAKDOWN AHT'!AC52</f>
        <v>2016.166205071562</v>
      </c>
      <c r="R51" s="20">
        <f>'BREAKDOWN AHT'!AD52</f>
        <v>1404.1649489542422</v>
      </c>
      <c r="T51" s="23">
        <v>0.82291666666666663</v>
      </c>
      <c r="U51" s="18">
        <f>'BREAKDOWN SHRINKAGE'!X52</f>
        <v>0.14999999999999997</v>
      </c>
      <c r="V51" s="18">
        <f>'BREAKDOWN SHRINKAGE'!Y52</f>
        <v>0.15</v>
      </c>
      <c r="W51" s="18">
        <f>'BREAKDOWN SHRINKAGE'!Z52</f>
        <v>0.15</v>
      </c>
      <c r="X51" s="18">
        <f>'BREAKDOWN SHRINKAGE'!AA52</f>
        <v>0.15</v>
      </c>
      <c r="Y51" s="18">
        <f>'BREAKDOWN SHRINKAGE'!AB52</f>
        <v>0.15</v>
      </c>
      <c r="Z51" s="18">
        <f>'BREAKDOWN SHRINKAGE'!AC52</f>
        <v>0.15</v>
      </c>
      <c r="AA51" s="18">
        <f>'BREAKDOWN SHRINKAGE'!AD52</f>
        <v>0.15</v>
      </c>
      <c r="AC51" s="23">
        <v>0.82291666666666663</v>
      </c>
      <c r="AD51" s="25">
        <v>0.75</v>
      </c>
      <c r="AE51" s="25">
        <v>0.75</v>
      </c>
      <c r="AF51" s="25">
        <v>0.75</v>
      </c>
      <c r="AG51" s="25">
        <v>0.75</v>
      </c>
      <c r="AH51" s="25">
        <v>0.75</v>
      </c>
      <c r="AI51" s="25">
        <v>0.75</v>
      </c>
      <c r="AJ51" s="25">
        <v>0.75</v>
      </c>
      <c r="AL51" s="23">
        <v>0.82291666666666663</v>
      </c>
      <c r="AM51" s="4">
        <f t="shared" si="1"/>
        <v>21.938643781235523</v>
      </c>
      <c r="AN51" s="4">
        <f t="shared" si="2"/>
        <v>23.11980252360857</v>
      </c>
      <c r="AO51" s="4">
        <f t="shared" si="3"/>
        <v>26.383377456655744</v>
      </c>
      <c r="AP51" s="4">
        <f t="shared" si="4"/>
        <v>30.501398968961514</v>
      </c>
      <c r="AQ51" s="4">
        <f t="shared" si="5"/>
        <v>17.827783007493327</v>
      </c>
      <c r="AR51" s="4">
        <f t="shared" si="6"/>
        <v>17.082899596176361</v>
      </c>
      <c r="AS51" s="4">
        <f t="shared" si="7"/>
        <v>7.6616997665317319</v>
      </c>
      <c r="AU51" s="23"/>
    </row>
    <row r="52" spans="2:47" x14ac:dyDescent="0.3">
      <c r="B52" s="24">
        <v>0.83333333333333337</v>
      </c>
      <c r="C52" s="4">
        <f>'BREAKDOWN CALL VOLUME'!W53</f>
        <v>19.643076249735572</v>
      </c>
      <c r="D52" s="4">
        <f>'BREAKDOWN CALL VOLUME'!X53</f>
        <v>24.281024808700916</v>
      </c>
      <c r="E52" s="4">
        <f>'BREAKDOWN CALL VOLUME'!Y53</f>
        <v>24.49804111827817</v>
      </c>
      <c r="F52" s="4">
        <f>'BREAKDOWN CALL VOLUME'!Z53</f>
        <v>22.433285944300284</v>
      </c>
      <c r="G52" s="4">
        <f>'BREAKDOWN CALL VOLUME'!AA53</f>
        <v>16.239020422366622</v>
      </c>
      <c r="H52" s="4">
        <f>'BREAKDOWN CALL VOLUME'!AB53</f>
        <v>9.5819884145051564</v>
      </c>
      <c r="I52" s="4">
        <f>'BREAKDOWN CALL VOLUME'!AC53</f>
        <v>6.9569228384480155</v>
      </c>
      <c r="K52" s="23">
        <v>0.83333333333333337</v>
      </c>
      <c r="L52" s="20">
        <f>'BREAKDOWN AHT'!X53</f>
        <v>1188.0658559740807</v>
      </c>
      <c r="M52" s="20">
        <f>'BREAKDOWN AHT'!Y53</f>
        <v>1122.9007192882671</v>
      </c>
      <c r="N52" s="20">
        <f>'BREAKDOWN AHT'!Z53</f>
        <v>1320.2648354712571</v>
      </c>
      <c r="O52" s="20">
        <f>'BREAKDOWN AHT'!AA53</f>
        <v>1557.8300911243925</v>
      </c>
      <c r="P52" s="20">
        <f>'BREAKDOWN AHT'!AB53</f>
        <v>1171.9183184276696</v>
      </c>
      <c r="Q52" s="20">
        <f>'BREAKDOWN AHT'!AC53</f>
        <v>1641.9458245449409</v>
      </c>
      <c r="R52" s="20">
        <f>'BREAKDOWN AHT'!AD53</f>
        <v>1044.1994420776427</v>
      </c>
      <c r="T52" s="23">
        <v>0.83333333333333337</v>
      </c>
      <c r="U52" s="18">
        <f>'BREAKDOWN SHRINKAGE'!X53</f>
        <v>0.14999999999999997</v>
      </c>
      <c r="V52" s="18">
        <f>'BREAKDOWN SHRINKAGE'!Y53</f>
        <v>0.15</v>
      </c>
      <c r="W52" s="18">
        <f>'BREAKDOWN SHRINKAGE'!Z53</f>
        <v>0.15</v>
      </c>
      <c r="X52" s="18">
        <f>'BREAKDOWN SHRINKAGE'!AA53</f>
        <v>0.15</v>
      </c>
      <c r="Y52" s="18">
        <f>'BREAKDOWN SHRINKAGE'!AB53</f>
        <v>0.15</v>
      </c>
      <c r="Z52" s="18">
        <f>'BREAKDOWN SHRINKAGE'!AC53</f>
        <v>0.15</v>
      </c>
      <c r="AA52" s="18">
        <f>'BREAKDOWN SHRINKAGE'!AD53</f>
        <v>0.15</v>
      </c>
      <c r="AC52" s="23">
        <v>0.83333333333333337</v>
      </c>
      <c r="AD52" s="25">
        <v>0.75</v>
      </c>
      <c r="AE52" s="25">
        <v>0.75</v>
      </c>
      <c r="AF52" s="25">
        <v>0.75</v>
      </c>
      <c r="AG52" s="25">
        <v>0.75</v>
      </c>
      <c r="AH52" s="25">
        <v>0.75</v>
      </c>
      <c r="AI52" s="25">
        <v>0.75</v>
      </c>
      <c r="AJ52" s="25">
        <v>0.75</v>
      </c>
      <c r="AL52" s="23">
        <v>0.83333333333333337</v>
      </c>
      <c r="AM52" s="4">
        <f t="shared" si="1"/>
        <v>17.286865332300909</v>
      </c>
      <c r="AN52" s="4">
        <f t="shared" si="2"/>
        <v>20.196429794627051</v>
      </c>
      <c r="AO52" s="4">
        <f t="shared" si="3"/>
        <v>23.958446093623422</v>
      </c>
      <c r="AP52" s="4">
        <f t="shared" si="4"/>
        <v>25.8868502865399</v>
      </c>
      <c r="AQ52" s="4">
        <f t="shared" si="5"/>
        <v>14.096892967624056</v>
      </c>
      <c r="AR52" s="4">
        <f t="shared" si="6"/>
        <v>11.654152494840547</v>
      </c>
      <c r="AS52" s="4">
        <f t="shared" si="7"/>
        <v>5.381048108507132</v>
      </c>
      <c r="AU52" s="23"/>
    </row>
    <row r="53" spans="2:47" x14ac:dyDescent="0.3">
      <c r="B53" s="24">
        <v>0.84375</v>
      </c>
      <c r="C53" s="4">
        <f>'BREAKDOWN CALL VOLUME'!W54</f>
        <v>21.334563371240577</v>
      </c>
      <c r="D53" s="4">
        <f>'BREAKDOWN CALL VOLUME'!X54</f>
        <v>25.317742721881405</v>
      </c>
      <c r="E53" s="4">
        <f>'BREAKDOWN CALL VOLUME'!Y54</f>
        <v>21.48461464814828</v>
      </c>
      <c r="F53" s="4">
        <f>'BREAKDOWN CALL VOLUME'!Z54</f>
        <v>19.977901413083337</v>
      </c>
      <c r="G53" s="4">
        <f>'BREAKDOWN CALL VOLUME'!AA54</f>
        <v>14.620698799519086</v>
      </c>
      <c r="H53" s="4">
        <f>'BREAKDOWN CALL VOLUME'!AB54</f>
        <v>8.86333928341727</v>
      </c>
      <c r="I53" s="4">
        <f>'BREAKDOWN CALL VOLUME'!AC54</f>
        <v>6.4892305467876445</v>
      </c>
      <c r="K53" s="23">
        <v>0.84375</v>
      </c>
      <c r="L53" s="20">
        <f>'BREAKDOWN AHT'!X54</f>
        <v>1498.5585660653103</v>
      </c>
      <c r="M53" s="20">
        <f>'BREAKDOWN AHT'!Y54</f>
        <v>1376.4937236336118</v>
      </c>
      <c r="N53" s="20">
        <f>'BREAKDOWN AHT'!Z54</f>
        <v>1551.2177463724497</v>
      </c>
      <c r="O53" s="20">
        <f>'BREAKDOWN AHT'!AA54</f>
        <v>1504.8355020254883</v>
      </c>
      <c r="P53" s="20">
        <f>'BREAKDOWN AHT'!AB54</f>
        <v>1139.2399190014014</v>
      </c>
      <c r="Q53" s="20">
        <f>'BREAKDOWN AHT'!AC54</f>
        <v>1105.2917577205931</v>
      </c>
      <c r="R53" s="20">
        <f>'BREAKDOWN AHT'!AD54</f>
        <v>1195.732342643</v>
      </c>
      <c r="T53" s="23">
        <v>0.84375</v>
      </c>
      <c r="U53" s="18">
        <f>'BREAKDOWN SHRINKAGE'!X54</f>
        <v>0.14999999999999997</v>
      </c>
      <c r="V53" s="18">
        <f>'BREAKDOWN SHRINKAGE'!Y54</f>
        <v>0.15</v>
      </c>
      <c r="W53" s="18">
        <f>'BREAKDOWN SHRINKAGE'!Z54</f>
        <v>0.15</v>
      </c>
      <c r="X53" s="18">
        <f>'BREAKDOWN SHRINKAGE'!AA54</f>
        <v>0.15</v>
      </c>
      <c r="Y53" s="18">
        <f>'BREAKDOWN SHRINKAGE'!AB54</f>
        <v>0.15</v>
      </c>
      <c r="Z53" s="18">
        <f>'BREAKDOWN SHRINKAGE'!AC54</f>
        <v>0.15</v>
      </c>
      <c r="AA53" s="18">
        <f>'BREAKDOWN SHRINKAGE'!AD54</f>
        <v>0.15</v>
      </c>
      <c r="AC53" s="23">
        <v>0.84375</v>
      </c>
      <c r="AD53" s="25">
        <v>0.75</v>
      </c>
      <c r="AE53" s="25">
        <v>0.75</v>
      </c>
      <c r="AF53" s="25">
        <v>0.75</v>
      </c>
      <c r="AG53" s="25">
        <v>0.75</v>
      </c>
      <c r="AH53" s="25">
        <v>0.75</v>
      </c>
      <c r="AI53" s="25">
        <v>0.75</v>
      </c>
      <c r="AJ53" s="25">
        <v>0.75</v>
      </c>
      <c r="AL53" s="23">
        <v>0.84375</v>
      </c>
      <c r="AM53" s="4">
        <f t="shared" si="1"/>
        <v>23.682290883878348</v>
      </c>
      <c r="AN53" s="4">
        <f t="shared" si="2"/>
        <v>25.814602928326156</v>
      </c>
      <c r="AO53" s="4">
        <f t="shared" si="3"/>
        <v>24.686900382356367</v>
      </c>
      <c r="AP53" s="4">
        <f t="shared" si="4"/>
        <v>22.269226149905908</v>
      </c>
      <c r="AQ53" s="4">
        <f t="shared" si="5"/>
        <v>12.338136086005933</v>
      </c>
      <c r="AR53" s="4">
        <f t="shared" si="6"/>
        <v>7.256722856179449</v>
      </c>
      <c r="AS53" s="4">
        <f t="shared" si="7"/>
        <v>5.7476909953043753</v>
      </c>
      <c r="AU53" s="23"/>
    </row>
    <row r="54" spans="2:47" x14ac:dyDescent="0.3">
      <c r="B54" s="24">
        <v>0.85416666666666663</v>
      </c>
      <c r="C54" s="4">
        <f>'BREAKDOWN CALL VOLUME'!W55</f>
        <v>16.041845603950716</v>
      </c>
      <c r="D54" s="4">
        <f>'BREAKDOWN CALL VOLUME'!X55</f>
        <v>19.261127544879603</v>
      </c>
      <c r="E54" s="4">
        <f>'BREAKDOWN CALL VOLUME'!Y55</f>
        <v>19.643076249735572</v>
      </c>
      <c r="F54" s="4">
        <f>'BREAKDOWN CALL VOLUME'!Z55</f>
        <v>17.801537851322863</v>
      </c>
      <c r="G54" s="4">
        <f>'BREAKDOWN CALL VOLUME'!AA55</f>
        <v>13.281398146128026</v>
      </c>
      <c r="H54" s="4">
        <f>'BREAKDOWN CALL VOLUME'!AB55</f>
        <v>7.4859284488321531</v>
      </c>
      <c r="I54" s="4">
        <f>'BREAKDOWN CALL VOLUME'!AC55</f>
        <v>5.9630767186697264</v>
      </c>
      <c r="K54" s="23">
        <v>0.85416666666666663</v>
      </c>
      <c r="L54" s="20">
        <f>'BREAKDOWN AHT'!X55</f>
        <v>1171.7745718026272</v>
      </c>
      <c r="M54" s="20">
        <f>'BREAKDOWN AHT'!Y55</f>
        <v>2400.0894827885336</v>
      </c>
      <c r="N54" s="20">
        <f>'BREAKDOWN AHT'!Z55</f>
        <v>1618.6828290589392</v>
      </c>
      <c r="O54" s="20">
        <f>'BREAKDOWN AHT'!AA55</f>
        <v>1325.7272072228623</v>
      </c>
      <c r="P54" s="20">
        <f>'BREAKDOWN AHT'!AB55</f>
        <v>1284.9989967942286</v>
      </c>
      <c r="Q54" s="20">
        <f>'BREAKDOWN AHT'!AC55</f>
        <v>1209.1486943136088</v>
      </c>
      <c r="R54" s="20">
        <f>'BREAKDOWN AHT'!AD55</f>
        <v>561.68993735253719</v>
      </c>
      <c r="T54" s="23">
        <v>0.85416666666666663</v>
      </c>
      <c r="U54" s="18">
        <f>'BREAKDOWN SHRINKAGE'!X55</f>
        <v>0.14999999999999997</v>
      </c>
      <c r="V54" s="18">
        <f>'BREAKDOWN SHRINKAGE'!Y55</f>
        <v>0.15</v>
      </c>
      <c r="W54" s="18">
        <f>'BREAKDOWN SHRINKAGE'!Z55</f>
        <v>0.15</v>
      </c>
      <c r="X54" s="18">
        <f>'BREAKDOWN SHRINKAGE'!AA55</f>
        <v>0.15</v>
      </c>
      <c r="Y54" s="18">
        <f>'BREAKDOWN SHRINKAGE'!AB55</f>
        <v>0.15</v>
      </c>
      <c r="Z54" s="18">
        <f>'BREAKDOWN SHRINKAGE'!AC55</f>
        <v>0.15</v>
      </c>
      <c r="AA54" s="18">
        <f>'BREAKDOWN SHRINKAGE'!AD55</f>
        <v>0.15</v>
      </c>
      <c r="AC54" s="23">
        <v>0.85416666666666663</v>
      </c>
      <c r="AD54" s="25">
        <v>0.75</v>
      </c>
      <c r="AE54" s="25">
        <v>0.75</v>
      </c>
      <c r="AF54" s="25">
        <v>0.75</v>
      </c>
      <c r="AG54" s="25">
        <v>0.75</v>
      </c>
      <c r="AH54" s="25">
        <v>0.75</v>
      </c>
      <c r="AI54" s="25">
        <v>0.75</v>
      </c>
      <c r="AJ54" s="25">
        <v>0.75</v>
      </c>
      <c r="AL54" s="23">
        <v>0.85416666666666663</v>
      </c>
      <c r="AM54" s="4">
        <f t="shared" si="1"/>
        <v>13.924019824809783</v>
      </c>
      <c r="AN54" s="4">
        <f t="shared" si="2"/>
        <v>34.243281220084491</v>
      </c>
      <c r="AO54" s="4">
        <f t="shared" si="3"/>
        <v>23.552526100253655</v>
      </c>
      <c r="AP54" s="4">
        <f t="shared" si="4"/>
        <v>17.481468933263951</v>
      </c>
      <c r="AQ54" s="4">
        <f t="shared" si="5"/>
        <v>12.641913550962402</v>
      </c>
      <c r="AR54" s="4">
        <f t="shared" si="6"/>
        <v>6.7048893404670347</v>
      </c>
      <c r="AS54" s="4">
        <f t="shared" si="7"/>
        <v>2.4810371766947936</v>
      </c>
      <c r="AU54" s="23"/>
    </row>
    <row r="55" spans="2:47" x14ac:dyDescent="0.3">
      <c r="B55" s="24">
        <v>0.86458333333333337</v>
      </c>
      <c r="C55" s="4">
        <f>'BREAKDOWN CALL VOLUME'!W56</f>
        <v>13.586461072733769</v>
      </c>
      <c r="D55" s="4">
        <f>'BREAKDOWN CALL VOLUME'!X56</f>
        <v>15.223384093545068</v>
      </c>
      <c r="E55" s="4">
        <f>'BREAKDOWN CALL VOLUME'!Y56</f>
        <v>15.625174289562386</v>
      </c>
      <c r="F55" s="4">
        <f>'BREAKDOWN CALL VOLUME'!Z56</f>
        <v>14.34167783006262</v>
      </c>
      <c r="G55" s="4">
        <f>'BREAKDOWN CALL VOLUME'!AA56</f>
        <v>11.328251359932729</v>
      </c>
      <c r="H55" s="4">
        <f>'BREAKDOWN CALL VOLUME'!AB56</f>
        <v>5.5695307659311215</v>
      </c>
      <c r="I55" s="4">
        <f>'BREAKDOWN CALL VOLUME'!AC56</f>
        <v>3.8584614061980589</v>
      </c>
      <c r="K55" s="23">
        <v>0.86458333333333337</v>
      </c>
      <c r="L55" s="20">
        <f>'BREAKDOWN AHT'!X56</f>
        <v>1210.7059494182329</v>
      </c>
      <c r="M55" s="20">
        <f>'BREAKDOWN AHT'!Y56</f>
        <v>1670.3357829907825</v>
      </c>
      <c r="N55" s="20">
        <f>'BREAKDOWN AHT'!Z56</f>
        <v>1859.6980037130882</v>
      </c>
      <c r="O55" s="20">
        <f>'BREAKDOWN AHT'!AA56</f>
        <v>1623.1868899769293</v>
      </c>
      <c r="P55" s="20">
        <f>'BREAKDOWN AHT'!AB56</f>
        <v>1422.4207703346062</v>
      </c>
      <c r="Q55" s="20">
        <f>'BREAKDOWN AHT'!AC56</f>
        <v>878.17209015386027</v>
      </c>
      <c r="R55" s="20">
        <f>'BREAKDOWN AHT'!AD56</f>
        <v>1063.4854476041428</v>
      </c>
      <c r="T55" s="23">
        <v>0.86458333333333337</v>
      </c>
      <c r="U55" s="18">
        <f>'BREAKDOWN SHRINKAGE'!X56</f>
        <v>0.14999999999999997</v>
      </c>
      <c r="V55" s="18">
        <f>'BREAKDOWN SHRINKAGE'!Y56</f>
        <v>0.15</v>
      </c>
      <c r="W55" s="18">
        <f>'BREAKDOWN SHRINKAGE'!Z56</f>
        <v>0.15</v>
      </c>
      <c r="X55" s="18">
        <f>'BREAKDOWN SHRINKAGE'!AA56</f>
        <v>0.15</v>
      </c>
      <c r="Y55" s="18">
        <f>'BREAKDOWN SHRINKAGE'!AB56</f>
        <v>0.15</v>
      </c>
      <c r="Z55" s="18">
        <f>'BREAKDOWN SHRINKAGE'!AC56</f>
        <v>0.15</v>
      </c>
      <c r="AA55" s="18">
        <f>'BREAKDOWN SHRINKAGE'!AD56</f>
        <v>0.15</v>
      </c>
      <c r="AC55" s="23">
        <v>0.86458333333333337</v>
      </c>
      <c r="AD55" s="25">
        <v>0.75</v>
      </c>
      <c r="AE55" s="25">
        <v>0.75</v>
      </c>
      <c r="AF55" s="25">
        <v>0.75</v>
      </c>
      <c r="AG55" s="25">
        <v>0.75</v>
      </c>
      <c r="AH55" s="25">
        <v>0.75</v>
      </c>
      <c r="AI55" s="25">
        <v>0.75</v>
      </c>
      <c r="AJ55" s="25">
        <v>0.75</v>
      </c>
      <c r="AL55" s="23">
        <v>0.86458333333333337</v>
      </c>
      <c r="AM55" s="4">
        <f t="shared" si="1"/>
        <v>12.184599446146668</v>
      </c>
      <c r="AN55" s="4">
        <f t="shared" si="2"/>
        <v>18.835676436785942</v>
      </c>
      <c r="AO55" s="4">
        <f t="shared" si="3"/>
        <v>21.524522543680177</v>
      </c>
      <c r="AP55" s="4">
        <f t="shared" si="4"/>
        <v>17.243869210392905</v>
      </c>
      <c r="AQ55" s="4">
        <f t="shared" si="5"/>
        <v>11.935955574770047</v>
      </c>
      <c r="AR55" s="4">
        <f t="shared" si="6"/>
        <v>3.6229677584399731</v>
      </c>
      <c r="AS55" s="4">
        <f t="shared" si="7"/>
        <v>3.0395685597287803</v>
      </c>
      <c r="AU55" s="23"/>
    </row>
    <row r="56" spans="2:47" x14ac:dyDescent="0.3">
      <c r="B56" s="24">
        <v>0.875</v>
      </c>
      <c r="C56" s="4">
        <f>'BREAKDOWN CALL VOLUME'!W57</f>
        <v>6.1657433783892213</v>
      </c>
      <c r="D56" s="4">
        <f>'BREAKDOWN CALL VOLUME'!X57</f>
        <v>7.8026663992005183</v>
      </c>
      <c r="E56" s="4">
        <f>'BREAKDOWN CALL VOLUME'!Y57</f>
        <v>7.979999726455075</v>
      </c>
      <c r="F56" s="4">
        <f>'BREAKDOWN CALL VOLUME'!Z57</f>
        <v>6.5848948791727198</v>
      </c>
      <c r="G56" s="4">
        <f>'BREAKDOWN CALL VOLUME'!AA57</f>
        <v>5.0223774502164806</v>
      </c>
      <c r="H56" s="4">
        <f>'BREAKDOWN CALL VOLUME'!AB57</f>
        <v>2.2757222484449748</v>
      </c>
      <c r="I56" s="4">
        <f>'BREAKDOWN CALL VOLUME'!AC57</f>
        <v>2.572307604132039</v>
      </c>
      <c r="K56" s="23">
        <v>0.875</v>
      </c>
      <c r="L56" s="20">
        <f>'BREAKDOWN AHT'!X57</f>
        <v>1861.9979497137638</v>
      </c>
      <c r="M56" s="20">
        <f>'BREAKDOWN AHT'!Y57</f>
        <v>3042.0379524563195</v>
      </c>
      <c r="N56" s="20">
        <f>'BREAKDOWN AHT'!Z57</f>
        <v>2106.8463677023724</v>
      </c>
      <c r="O56" s="20">
        <f>'BREAKDOWN AHT'!AA57</f>
        <v>1286.4364630446512</v>
      </c>
      <c r="P56" s="20">
        <f>'BREAKDOWN AHT'!AB57</f>
        <v>1175.7515617621293</v>
      </c>
      <c r="Q56" s="20">
        <f>'BREAKDOWN AHT'!AC57</f>
        <v>560.73162651892233</v>
      </c>
      <c r="R56" s="20">
        <f>'BREAKDOWN AHT'!AD57</f>
        <v>737.06081990406517</v>
      </c>
      <c r="T56" s="23">
        <v>0.875</v>
      </c>
      <c r="U56" s="18">
        <f>'BREAKDOWN SHRINKAGE'!X57</f>
        <v>0.14999999999999997</v>
      </c>
      <c r="V56" s="18">
        <f>'BREAKDOWN SHRINKAGE'!Y57</f>
        <v>0.15</v>
      </c>
      <c r="W56" s="18">
        <f>'BREAKDOWN SHRINKAGE'!Z57</f>
        <v>0.15</v>
      </c>
      <c r="X56" s="18">
        <f>'BREAKDOWN SHRINKAGE'!AA57</f>
        <v>0.15</v>
      </c>
      <c r="Y56" s="18">
        <f>'BREAKDOWN SHRINKAGE'!AB57</f>
        <v>0.15</v>
      </c>
      <c r="Z56" s="18">
        <f>'BREAKDOWN SHRINKAGE'!AC57</f>
        <v>0.15</v>
      </c>
      <c r="AA56" s="18">
        <f>'BREAKDOWN SHRINKAGE'!AD57</f>
        <v>0.15</v>
      </c>
      <c r="AC56" s="23">
        <v>0.875</v>
      </c>
      <c r="AD56" s="25">
        <v>0.75</v>
      </c>
      <c r="AE56" s="25">
        <v>0.75</v>
      </c>
      <c r="AF56" s="25">
        <v>0.75</v>
      </c>
      <c r="AG56" s="25">
        <v>0.75</v>
      </c>
      <c r="AH56" s="25">
        <v>0.75</v>
      </c>
      <c r="AI56" s="25">
        <v>0.75</v>
      </c>
      <c r="AJ56" s="25">
        <v>0.75</v>
      </c>
      <c r="AL56" s="23">
        <v>0.875</v>
      </c>
      <c r="AM56" s="4">
        <f t="shared" si="1"/>
        <v>8.5041492807569963</v>
      </c>
      <c r="AN56" s="4">
        <f t="shared" si="2"/>
        <v>17.582227642017532</v>
      </c>
      <c r="AO56" s="4">
        <f t="shared" si="3"/>
        <v>12.453802546627999</v>
      </c>
      <c r="AP56" s="4">
        <f t="shared" si="4"/>
        <v>6.2748510206546593</v>
      </c>
      <c r="AQ56" s="4">
        <f t="shared" si="5"/>
        <v>4.3741245413710583</v>
      </c>
      <c r="AR56" s="4">
        <f t="shared" si="6"/>
        <v>0.94523662064877767</v>
      </c>
      <c r="AS56" s="4">
        <f t="shared" si="7"/>
        <v>1.4044052975903869</v>
      </c>
      <c r="AU56" s="23"/>
    </row>
    <row r="57" spans="2:47" x14ac:dyDescent="0.3">
      <c r="B57" s="24">
        <v>0.88541666666666663</v>
      </c>
      <c r="C57" s="4">
        <f>'BREAKDOWN CALL VOLUME'!W58</f>
        <v>4.7470767603527628</v>
      </c>
      <c r="D57" s="4">
        <f>'BREAKDOWN CALL VOLUME'!X58</f>
        <v>5.7837946735332517</v>
      </c>
      <c r="E57" s="4">
        <f>'BREAKDOWN CALL VOLUME'!Y58</f>
        <v>4.241118735738362</v>
      </c>
      <c r="F57" s="4">
        <f>'BREAKDOWN CALL VOLUME'!Z58</f>
        <v>3.8504893784993026</v>
      </c>
      <c r="G57" s="4">
        <f>'BREAKDOWN CALL VOLUME'!AA58</f>
        <v>4.6317480929774213</v>
      </c>
      <c r="H57" s="4">
        <f>'BREAKDOWN CALL VOLUME'!AB58</f>
        <v>2.0361725380823459</v>
      </c>
      <c r="I57" s="4">
        <f>'BREAKDOWN CALL VOLUME'!AC58</f>
        <v>1.1107691926933805</v>
      </c>
      <c r="K57" s="23">
        <v>0.88541666666666663</v>
      </c>
      <c r="L57" s="20">
        <f>'BREAKDOWN AHT'!X58</f>
        <v>823.54837263781053</v>
      </c>
      <c r="M57" s="20">
        <f>'BREAKDOWN AHT'!Y58</f>
        <v>922.73354391695329</v>
      </c>
      <c r="N57" s="20">
        <f>'BREAKDOWN AHT'!Z58</f>
        <v>1572.9714022955084</v>
      </c>
      <c r="O57" s="20">
        <f>'BREAKDOWN AHT'!AA58</f>
        <v>985.52686128957032</v>
      </c>
      <c r="P57" s="20">
        <f>'BREAKDOWN AHT'!AB58</f>
        <v>576.51979750272801</v>
      </c>
      <c r="Q57" s="20">
        <f>'BREAKDOWN AHT'!AC58</f>
        <v>520.24299379869251</v>
      </c>
      <c r="R57" s="20">
        <f>'BREAKDOWN AHT'!AD58</f>
        <v>258.74392507602482</v>
      </c>
      <c r="T57" s="23">
        <v>0.88541666666666663</v>
      </c>
      <c r="U57" s="18">
        <f>'BREAKDOWN SHRINKAGE'!X58</f>
        <v>0.14999999999999997</v>
      </c>
      <c r="V57" s="18">
        <f>'BREAKDOWN SHRINKAGE'!Y58</f>
        <v>0.15</v>
      </c>
      <c r="W57" s="18">
        <f>'BREAKDOWN SHRINKAGE'!Z58</f>
        <v>0.15</v>
      </c>
      <c r="X57" s="18">
        <f>'BREAKDOWN SHRINKAGE'!AA58</f>
        <v>0.15</v>
      </c>
      <c r="Y57" s="18">
        <f>'BREAKDOWN SHRINKAGE'!AB58</f>
        <v>0.15</v>
      </c>
      <c r="Z57" s="18">
        <f>'BREAKDOWN SHRINKAGE'!AC58</f>
        <v>0.15</v>
      </c>
      <c r="AA57" s="18">
        <f>'BREAKDOWN SHRINKAGE'!AD58</f>
        <v>0.15</v>
      </c>
      <c r="AC57" s="23">
        <v>0.88541666666666663</v>
      </c>
      <c r="AD57" s="25">
        <v>0.75</v>
      </c>
      <c r="AE57" s="25">
        <v>0.75</v>
      </c>
      <c r="AF57" s="25">
        <v>0.75</v>
      </c>
      <c r="AG57" s="25">
        <v>0.75</v>
      </c>
      <c r="AH57" s="25">
        <v>0.75</v>
      </c>
      <c r="AI57" s="25">
        <v>0.75</v>
      </c>
      <c r="AJ57" s="25">
        <v>0.75</v>
      </c>
      <c r="AL57" s="23">
        <v>0.88541666666666663</v>
      </c>
      <c r="AM57" s="4">
        <f t="shared" si="1"/>
        <v>2.8958869190928054</v>
      </c>
      <c r="AN57" s="4">
        <f t="shared" si="2"/>
        <v>3.9532602639980259</v>
      </c>
      <c r="AO57" s="4">
        <f t="shared" si="3"/>
        <v>4.9415988778193514</v>
      </c>
      <c r="AP57" s="4">
        <f t="shared" si="4"/>
        <v>2.8109338604601826</v>
      </c>
      <c r="AQ57" s="4">
        <f t="shared" si="5"/>
        <v>1.9779959056644367</v>
      </c>
      <c r="AR57" s="4">
        <f t="shared" si="6"/>
        <v>0.78466999785380875</v>
      </c>
      <c r="AS57" s="4">
        <f t="shared" si="7"/>
        <v>0.21289243020075008</v>
      </c>
      <c r="AU57" s="23"/>
    </row>
    <row r="58" spans="2:47" x14ac:dyDescent="0.3">
      <c r="B58" s="24">
        <v>0.89583333333333337</v>
      </c>
      <c r="C58" s="4">
        <f>'BREAKDOWN CALL VOLUME'!W59</f>
        <v>4.8016408610464723</v>
      </c>
      <c r="D58" s="4">
        <f>'BREAKDOWN CALL VOLUME'!X59</f>
        <v>4.6379485589653431</v>
      </c>
      <c r="E58" s="4">
        <f>'BREAKDOWN CALL VOLUME'!Y59</f>
        <v>4.9107690624338929</v>
      </c>
      <c r="F58" s="4">
        <f>'BREAKDOWN CALL VOLUME'!Z59</f>
        <v>4.5201397051948327</v>
      </c>
      <c r="G58" s="4">
        <f>'BREAKDOWN CALL VOLUME'!AA59</f>
        <v>3.0134264701298887</v>
      </c>
      <c r="H58" s="4">
        <f>'BREAKDOWN CALL VOLUME'!AB59</f>
        <v>1.7966228277197169</v>
      </c>
      <c r="I58" s="4">
        <f>'BREAKDOWN CALL VOLUME'!AC59</f>
        <v>1.6369230208112975</v>
      </c>
      <c r="K58" s="23">
        <v>0.89583333333333337</v>
      </c>
      <c r="L58" s="20">
        <f>'BREAKDOWN AHT'!X59</f>
        <v>651.65136685813661</v>
      </c>
      <c r="M58" s="20">
        <f>'BREAKDOWN AHT'!Y59</f>
        <v>728.31623354732915</v>
      </c>
      <c r="N58" s="20">
        <f>'BREAKDOWN AHT'!Z59</f>
        <v>892.47487934556261</v>
      </c>
      <c r="O58" s="20">
        <f>'BREAKDOWN AHT'!AA59</f>
        <v>1034.0173894704847</v>
      </c>
      <c r="P58" s="20">
        <f>'BREAKDOWN AHT'!AB59</f>
        <v>388.49921194748327</v>
      </c>
      <c r="Q58" s="20">
        <f>'BREAKDOWN AHT'!AC59</f>
        <v>399.13646220060866</v>
      </c>
      <c r="R58" s="20">
        <f>'BREAKDOWN AHT'!AD59</f>
        <v>103.49757003040993</v>
      </c>
      <c r="T58" s="23">
        <v>0.89583333333333337</v>
      </c>
      <c r="U58" s="18">
        <f>'BREAKDOWN SHRINKAGE'!X59</f>
        <v>0.14999999999999997</v>
      </c>
      <c r="V58" s="18">
        <f>'BREAKDOWN SHRINKAGE'!Y59</f>
        <v>0.15</v>
      </c>
      <c r="W58" s="18">
        <f>'BREAKDOWN SHRINKAGE'!Z59</f>
        <v>0.15</v>
      </c>
      <c r="X58" s="18">
        <f>'BREAKDOWN SHRINKAGE'!AA59</f>
        <v>0.15</v>
      </c>
      <c r="Y58" s="18">
        <f>'BREAKDOWN SHRINKAGE'!AB59</f>
        <v>0.15</v>
      </c>
      <c r="Z58" s="18">
        <f>'BREAKDOWN SHRINKAGE'!AC59</f>
        <v>0.15</v>
      </c>
      <c r="AA58" s="18">
        <f>'BREAKDOWN SHRINKAGE'!AD59</f>
        <v>0.15</v>
      </c>
      <c r="AC58" s="23">
        <v>0.89583333333333337</v>
      </c>
      <c r="AD58" s="25">
        <v>0.75</v>
      </c>
      <c r="AE58" s="25">
        <v>0.75</v>
      </c>
      <c r="AF58" s="25">
        <v>0.75</v>
      </c>
      <c r="AG58" s="25">
        <v>0.75</v>
      </c>
      <c r="AH58" s="25">
        <v>0.75</v>
      </c>
      <c r="AI58" s="25">
        <v>0.75</v>
      </c>
      <c r="AJ58" s="25">
        <v>0.75</v>
      </c>
      <c r="AL58" s="23">
        <v>0.89583333333333337</v>
      </c>
      <c r="AM58" s="4">
        <f t="shared" si="1"/>
        <v>2.3177746890835658</v>
      </c>
      <c r="AN58" s="4">
        <f t="shared" si="2"/>
        <v>2.5021431302606678</v>
      </c>
      <c r="AO58" s="4">
        <f t="shared" si="3"/>
        <v>3.246472612214526</v>
      </c>
      <c r="AP58" s="4">
        <f t="shared" si="4"/>
        <v>3.4621504133388497</v>
      </c>
      <c r="AQ58" s="4">
        <f t="shared" si="5"/>
        <v>0.86719541400529476</v>
      </c>
      <c r="AR58" s="4">
        <f t="shared" si="6"/>
        <v>0.53118346619622325</v>
      </c>
      <c r="AS58" s="4">
        <f t="shared" si="7"/>
        <v>0.12549448517096848</v>
      </c>
      <c r="AU58" s="23"/>
    </row>
    <row r="59" spans="2:47" x14ac:dyDescent="0.3">
      <c r="B59" s="24">
        <v>0.90625</v>
      </c>
      <c r="C59" s="4">
        <f>'BREAKDOWN CALL VOLUME'!W60</f>
        <v>3.3829742430100151</v>
      </c>
      <c r="D59" s="4">
        <f>'BREAKDOWN CALL VOLUME'!X60</f>
        <v>4.474256256884213</v>
      </c>
      <c r="E59" s="4">
        <f>'BREAKDOWN CALL VOLUME'!Y60</f>
        <v>4.6875522868687165</v>
      </c>
      <c r="F59" s="4">
        <f>'BREAKDOWN CALL VOLUME'!Z60</f>
        <v>3.404055827368949</v>
      </c>
      <c r="G59" s="4">
        <f>'BREAKDOWN CALL VOLUME'!AA60</f>
        <v>1.7299300106301214</v>
      </c>
      <c r="H59" s="4">
        <f>'BREAKDOWN CALL VOLUME'!AB60</f>
        <v>1.0180862690411729</v>
      </c>
      <c r="I59" s="4">
        <f>'BREAKDOWN CALL VOLUME'!AC60</f>
        <v>0.64307690103300974</v>
      </c>
      <c r="K59" s="23">
        <v>0.90625</v>
      </c>
      <c r="L59" s="20">
        <f>'BREAKDOWN AHT'!X60</f>
        <v>705.31677354057138</v>
      </c>
      <c r="M59" s="20">
        <f>'BREAKDOWN AHT'!Y60</f>
        <v>1041.4442984309999</v>
      </c>
      <c r="N59" s="20">
        <f>'BREAKDOWN AHT'!Z60</f>
        <v>766.74449797528689</v>
      </c>
      <c r="O59" s="20">
        <f>'BREAKDOWN AHT'!AA60</f>
        <v>386.67842136361497</v>
      </c>
      <c r="P59" s="20">
        <f>'BREAKDOWN AHT'!AB60</f>
        <v>154.09638204527704</v>
      </c>
      <c r="Q59" s="20">
        <f>'BREAKDOWN AHT'!AC60</f>
        <v>113.91920034597204</v>
      </c>
      <c r="R59" s="20">
        <f>'BREAKDOWN AHT'!AD60</f>
        <v>21.082838339527946</v>
      </c>
      <c r="T59" s="23">
        <v>0.90625</v>
      </c>
      <c r="U59" s="18">
        <f>'BREAKDOWN SHRINKAGE'!X60</f>
        <v>0.14999999999999997</v>
      </c>
      <c r="V59" s="18">
        <f>'BREAKDOWN SHRINKAGE'!Y60</f>
        <v>0.15</v>
      </c>
      <c r="W59" s="18">
        <f>'BREAKDOWN SHRINKAGE'!Z60</f>
        <v>0.15</v>
      </c>
      <c r="X59" s="18">
        <f>'BREAKDOWN SHRINKAGE'!AA60</f>
        <v>0.15</v>
      </c>
      <c r="Y59" s="18">
        <f>'BREAKDOWN SHRINKAGE'!AB60</f>
        <v>0.15</v>
      </c>
      <c r="Z59" s="18">
        <f>'BREAKDOWN SHRINKAGE'!AC60</f>
        <v>0.15</v>
      </c>
      <c r="AA59" s="18">
        <f>'BREAKDOWN SHRINKAGE'!AD60</f>
        <v>0.15</v>
      </c>
      <c r="AC59" s="23">
        <v>0.90625</v>
      </c>
      <c r="AD59" s="25">
        <v>0.75</v>
      </c>
      <c r="AE59" s="25">
        <v>0.75</v>
      </c>
      <c r="AF59" s="25">
        <v>0.75</v>
      </c>
      <c r="AG59" s="25">
        <v>0.75</v>
      </c>
      <c r="AH59" s="25">
        <v>0.75</v>
      </c>
      <c r="AI59" s="25">
        <v>0.75</v>
      </c>
      <c r="AJ59" s="25">
        <v>0.75</v>
      </c>
      <c r="AL59" s="23">
        <v>0.90625</v>
      </c>
      <c r="AM59" s="4">
        <f t="shared" si="1"/>
        <v>1.7674581318893932</v>
      </c>
      <c r="AN59" s="4">
        <f t="shared" si="2"/>
        <v>3.4516212358898453</v>
      </c>
      <c r="AO59" s="4">
        <f t="shared" si="3"/>
        <v>2.6623369814281941</v>
      </c>
      <c r="AP59" s="4">
        <f t="shared" si="4"/>
        <v>0.97501846930417746</v>
      </c>
      <c r="AQ59" s="4">
        <f t="shared" si="5"/>
        <v>0.19746367098492548</v>
      </c>
      <c r="AR59" s="4">
        <f t="shared" si="6"/>
        <v>8.5910795298062642E-2</v>
      </c>
      <c r="AS59" s="4">
        <f t="shared" si="7"/>
        <v>1.0042878773602635E-2</v>
      </c>
      <c r="AU59" s="23"/>
    </row>
    <row r="60" spans="2:47" x14ac:dyDescent="0.3">
      <c r="B60" s="24">
        <v>0.91666666666666663</v>
      </c>
      <c r="C60" s="4">
        <f>'BREAKDOWN CALL VOLUME'!W61</f>
        <v>0.26544697634777803</v>
      </c>
      <c r="D60" s="4">
        <f>'BREAKDOWN CALL VOLUME'!X61</f>
        <v>0.13272348817388901</v>
      </c>
      <c r="E60" s="4">
        <f>'BREAKDOWN CALL VOLUME'!Y61</f>
        <v>0.32307691200222977</v>
      </c>
      <c r="F60" s="4">
        <f>'BREAKDOWN CALL VOLUME'!Z61</f>
        <v>0.21046153124716685</v>
      </c>
      <c r="G60" s="4">
        <f>'BREAKDOWN CALL VOLUME'!AA61</f>
        <v>6.8205125867137395E-2</v>
      </c>
      <c r="H60" s="4">
        <f>'BREAKDOWN CALL VOLUME'!AB61</f>
        <v>0</v>
      </c>
      <c r="I60" s="4">
        <f>'BREAKDOWN CALL VOLUME'!AC61</f>
        <v>0</v>
      </c>
      <c r="K60" s="23">
        <v>0.91666666666666663</v>
      </c>
      <c r="L60" s="20">
        <f>'BREAKDOWN AHT'!X61</f>
        <v>0</v>
      </c>
      <c r="M60" s="20">
        <f>'BREAKDOWN AHT'!Y61</f>
        <v>0</v>
      </c>
      <c r="N60" s="20">
        <f>'BREAKDOWN AHT'!Z61</f>
        <v>150.07147654409439</v>
      </c>
      <c r="O60" s="20">
        <f>'BREAKDOWN AHT'!AA61</f>
        <v>234.97781640237517</v>
      </c>
      <c r="P60" s="20">
        <f>'BREAKDOWN AHT'!AB61</f>
        <v>6.1331893351354045</v>
      </c>
      <c r="Q60" s="20">
        <f>'BREAKDOWN AHT'!AC61</f>
        <v>0</v>
      </c>
      <c r="R60" s="20">
        <f>'BREAKDOWN AHT'!AD61</f>
        <v>0</v>
      </c>
      <c r="T60" s="23">
        <v>0.91666666666666663</v>
      </c>
      <c r="U60" s="18">
        <f>'BREAKDOWN SHRINKAGE'!X61</f>
        <v>0.14999999999999997</v>
      </c>
      <c r="V60" s="18">
        <f>'BREAKDOWN SHRINKAGE'!Y61</f>
        <v>0.15</v>
      </c>
      <c r="W60" s="18">
        <f>'BREAKDOWN SHRINKAGE'!Z61</f>
        <v>0.15</v>
      </c>
      <c r="X60" s="18">
        <f>'BREAKDOWN SHRINKAGE'!AA61</f>
        <v>0.15</v>
      </c>
      <c r="Y60" s="18">
        <f>'BREAKDOWN SHRINKAGE'!AB61</f>
        <v>0.15</v>
      </c>
      <c r="Z60" s="18">
        <f>'BREAKDOWN SHRINKAGE'!AC61</f>
        <v>0.15</v>
      </c>
      <c r="AA60" s="18">
        <f>'BREAKDOWN SHRINKAGE'!AD61</f>
        <v>0.15</v>
      </c>
      <c r="AC60" s="23">
        <v>0.91666666666666663</v>
      </c>
      <c r="AD60" s="25">
        <v>0.75</v>
      </c>
      <c r="AE60" s="25">
        <v>0.75</v>
      </c>
      <c r="AF60" s="25">
        <v>0.75</v>
      </c>
      <c r="AG60" s="25">
        <v>0.75</v>
      </c>
      <c r="AH60" s="25">
        <v>0.75</v>
      </c>
      <c r="AI60" s="25">
        <v>0.75</v>
      </c>
      <c r="AJ60" s="25">
        <v>0.75</v>
      </c>
      <c r="AL60" s="23">
        <v>0.91666666666666663</v>
      </c>
      <c r="AM60" s="4">
        <f t="shared" si="1"/>
        <v>0</v>
      </c>
      <c r="AN60" s="4">
        <f t="shared" si="2"/>
        <v>0</v>
      </c>
      <c r="AO60" s="4">
        <f t="shared" si="3"/>
        <v>3.5914540164060052E-2</v>
      </c>
      <c r="AP60" s="4">
        <f t="shared" si="4"/>
        <v>3.6632437814192238E-2</v>
      </c>
      <c r="AQ60" s="4">
        <f t="shared" si="5"/>
        <v>3.0986292634807035E-4</v>
      </c>
      <c r="AR60" s="4">
        <f t="shared" si="6"/>
        <v>0</v>
      </c>
      <c r="AS60" s="4">
        <f t="shared" si="7"/>
        <v>0</v>
      </c>
      <c r="AU60" s="23"/>
    </row>
    <row r="61" spans="2:47" x14ac:dyDescent="0.3">
      <c r="B61" s="24">
        <v>0.92708333333333337</v>
      </c>
      <c r="C61" s="4">
        <f>'BREAKDOWN CALL VOLUME'!W62</f>
        <v>0</v>
      </c>
      <c r="D61" s="4">
        <f>'BREAKDOWN CALL VOLUME'!X62</f>
        <v>6.8205125867137409E-2</v>
      </c>
      <c r="E61" s="4">
        <f>'BREAKDOWN CALL VOLUME'!Y62</f>
        <v>0.12923076480089191</v>
      </c>
      <c r="F61" s="4">
        <f>'BREAKDOWN CALL VOLUME'!Z62</f>
        <v>0</v>
      </c>
      <c r="G61" s="4">
        <f>'BREAKDOWN CALL VOLUME'!AA62</f>
        <v>0</v>
      </c>
      <c r="H61" s="4">
        <f>'BREAKDOWN CALL VOLUME'!AB62</f>
        <v>0</v>
      </c>
      <c r="I61" s="4">
        <f>'BREAKDOWN CALL VOLUME'!AC62</f>
        <v>0</v>
      </c>
      <c r="K61" s="23">
        <v>0.92708333333333337</v>
      </c>
      <c r="L61" s="20">
        <f>'BREAKDOWN AHT'!X62</f>
        <v>0</v>
      </c>
      <c r="M61" s="20">
        <f>'BREAKDOWN AHT'!Y62</f>
        <v>0</v>
      </c>
      <c r="N61" s="20">
        <f>'BREAKDOWN AHT'!Z62</f>
        <v>0</v>
      </c>
      <c r="O61" s="20">
        <f>'BREAKDOWN AHT'!AA62</f>
        <v>0</v>
      </c>
      <c r="P61" s="20">
        <f>'BREAKDOWN AHT'!AB62</f>
        <v>0</v>
      </c>
      <c r="Q61" s="20">
        <f>'BREAKDOWN AHT'!AC62</f>
        <v>0</v>
      </c>
      <c r="R61" s="20">
        <f>'BREAKDOWN AHT'!AD62</f>
        <v>0</v>
      </c>
      <c r="T61" s="23">
        <v>0.92708333333333337</v>
      </c>
      <c r="U61" s="18">
        <f>'BREAKDOWN SHRINKAGE'!X62</f>
        <v>0.14999999999999997</v>
      </c>
      <c r="V61" s="18">
        <f>'BREAKDOWN SHRINKAGE'!Y62</f>
        <v>0.15</v>
      </c>
      <c r="W61" s="18">
        <f>'BREAKDOWN SHRINKAGE'!Z62</f>
        <v>0.15</v>
      </c>
      <c r="X61" s="18">
        <f>'BREAKDOWN SHRINKAGE'!AA62</f>
        <v>0.15</v>
      </c>
      <c r="Y61" s="18">
        <f>'BREAKDOWN SHRINKAGE'!AB62</f>
        <v>0.15</v>
      </c>
      <c r="Z61" s="18">
        <f>'BREAKDOWN SHRINKAGE'!AC62</f>
        <v>0.15</v>
      </c>
      <c r="AA61" s="18">
        <f>'BREAKDOWN SHRINKAGE'!AD62</f>
        <v>0.15</v>
      </c>
      <c r="AC61" s="23">
        <v>0.92708333333333337</v>
      </c>
      <c r="AD61" s="25">
        <v>0.75</v>
      </c>
      <c r="AE61" s="25">
        <v>0.75</v>
      </c>
      <c r="AF61" s="25">
        <v>0.75</v>
      </c>
      <c r="AG61" s="25">
        <v>0.75</v>
      </c>
      <c r="AH61" s="25">
        <v>0.75</v>
      </c>
      <c r="AI61" s="25">
        <v>0.75</v>
      </c>
      <c r="AJ61" s="25">
        <v>0.75</v>
      </c>
      <c r="AL61" s="23">
        <v>0.92708333333333337</v>
      </c>
      <c r="AM61" s="4">
        <f t="shared" si="1"/>
        <v>0</v>
      </c>
      <c r="AN61" s="4">
        <f t="shared" si="2"/>
        <v>0</v>
      </c>
      <c r="AO61" s="4">
        <f t="shared" si="3"/>
        <v>0</v>
      </c>
      <c r="AP61" s="4">
        <f t="shared" si="4"/>
        <v>0</v>
      </c>
      <c r="AQ61" s="4">
        <f t="shared" si="5"/>
        <v>0</v>
      </c>
      <c r="AR61" s="4">
        <f t="shared" si="6"/>
        <v>0</v>
      </c>
      <c r="AS61" s="4">
        <f t="shared" si="7"/>
        <v>0</v>
      </c>
      <c r="AU61" s="23"/>
    </row>
    <row r="62" spans="2:47" x14ac:dyDescent="0.3">
      <c r="B62" s="24">
        <v>0.9375</v>
      </c>
      <c r="C62" s="4">
        <f>'BREAKDOWN CALL VOLUME'!W63</f>
        <v>0</v>
      </c>
      <c r="D62" s="4">
        <f>'BREAKDOWN CALL VOLUME'!X63</f>
        <v>0</v>
      </c>
      <c r="E62" s="4">
        <f>'BREAKDOWN CALL VOLUME'!Y63</f>
        <v>0.19384614720133789</v>
      </c>
      <c r="F62" s="4">
        <f>'BREAKDOWN CALL VOLUME'!Z63</f>
        <v>0</v>
      </c>
      <c r="G62" s="4">
        <f>'BREAKDOWN CALL VOLUME'!AA63</f>
        <v>0</v>
      </c>
      <c r="H62" s="4">
        <f>'BREAKDOWN CALL VOLUME'!AB63</f>
        <v>0</v>
      </c>
      <c r="I62" s="4">
        <f>'BREAKDOWN CALL VOLUME'!AC63</f>
        <v>0</v>
      </c>
      <c r="K62" s="23">
        <v>0.9375</v>
      </c>
      <c r="L62" s="20">
        <f>'BREAKDOWN AHT'!X63</f>
        <v>0</v>
      </c>
      <c r="M62" s="20">
        <f>'BREAKDOWN AHT'!Y63</f>
        <v>0</v>
      </c>
      <c r="N62" s="20">
        <f>'BREAKDOWN AHT'!Z63</f>
        <v>0</v>
      </c>
      <c r="O62" s="20">
        <f>'BREAKDOWN AHT'!AA63</f>
        <v>0</v>
      </c>
      <c r="P62" s="20">
        <f>'BREAKDOWN AHT'!AB63</f>
        <v>0</v>
      </c>
      <c r="Q62" s="20">
        <f>'BREAKDOWN AHT'!AC63</f>
        <v>0</v>
      </c>
      <c r="R62" s="20">
        <f>'BREAKDOWN AHT'!AD63</f>
        <v>0</v>
      </c>
      <c r="T62" s="23">
        <v>0.9375</v>
      </c>
      <c r="U62" s="18">
        <f>'BREAKDOWN SHRINKAGE'!X63</f>
        <v>0.14999999999999997</v>
      </c>
      <c r="V62" s="18">
        <f>'BREAKDOWN SHRINKAGE'!Y63</f>
        <v>0.15</v>
      </c>
      <c r="W62" s="18">
        <f>'BREAKDOWN SHRINKAGE'!Z63</f>
        <v>0.15</v>
      </c>
      <c r="X62" s="18">
        <f>'BREAKDOWN SHRINKAGE'!AA63</f>
        <v>0.15</v>
      </c>
      <c r="Y62" s="18">
        <f>'BREAKDOWN SHRINKAGE'!AB63</f>
        <v>0.15</v>
      </c>
      <c r="Z62" s="18">
        <f>'BREAKDOWN SHRINKAGE'!AC63</f>
        <v>0.15</v>
      </c>
      <c r="AA62" s="18">
        <f>'BREAKDOWN SHRINKAGE'!AD63</f>
        <v>0.15</v>
      </c>
      <c r="AC62" s="23">
        <v>0.9375</v>
      </c>
      <c r="AD62" s="25">
        <v>0.75</v>
      </c>
      <c r="AE62" s="25">
        <v>0.75</v>
      </c>
      <c r="AF62" s="25">
        <v>0.75</v>
      </c>
      <c r="AG62" s="25">
        <v>0.75</v>
      </c>
      <c r="AH62" s="25">
        <v>0.75</v>
      </c>
      <c r="AI62" s="25">
        <v>0.75</v>
      </c>
      <c r="AJ62" s="25">
        <v>0.75</v>
      </c>
      <c r="AL62" s="23">
        <v>0.9375</v>
      </c>
      <c r="AM62" s="4">
        <f t="shared" si="1"/>
        <v>0</v>
      </c>
      <c r="AN62" s="4">
        <f t="shared" si="2"/>
        <v>0</v>
      </c>
      <c r="AO62" s="4">
        <f t="shared" si="3"/>
        <v>0</v>
      </c>
      <c r="AP62" s="4">
        <f t="shared" si="4"/>
        <v>0</v>
      </c>
      <c r="AQ62" s="4">
        <f t="shared" si="5"/>
        <v>0</v>
      </c>
      <c r="AR62" s="4">
        <f t="shared" si="6"/>
        <v>0</v>
      </c>
      <c r="AS62" s="4">
        <f t="shared" si="7"/>
        <v>0</v>
      </c>
      <c r="AU62" s="23"/>
    </row>
    <row r="63" spans="2:47" x14ac:dyDescent="0.3">
      <c r="B63" s="24">
        <v>0.94791666666666663</v>
      </c>
      <c r="C63" s="4">
        <f>'BREAKDOWN CALL VOLUME'!W64</f>
        <v>0</v>
      </c>
      <c r="D63" s="4">
        <f>'BREAKDOWN CALL VOLUME'!X64</f>
        <v>0</v>
      </c>
      <c r="E63" s="4">
        <f>'BREAKDOWN CALL VOLUME'!Y64</f>
        <v>0.32307691200222977</v>
      </c>
      <c r="F63" s="4">
        <f>'BREAKDOWN CALL VOLUME'!Z64</f>
        <v>0</v>
      </c>
      <c r="G63" s="4">
        <f>'BREAKDOWN CALL VOLUME'!AA64</f>
        <v>0</v>
      </c>
      <c r="H63" s="4">
        <f>'BREAKDOWN CALL VOLUME'!AB64</f>
        <v>0</v>
      </c>
      <c r="I63" s="4">
        <f>'BREAKDOWN CALL VOLUME'!AC64</f>
        <v>0</v>
      </c>
      <c r="K63" s="23">
        <v>0.94791666666666663</v>
      </c>
      <c r="L63" s="20">
        <f>'BREAKDOWN AHT'!X64</f>
        <v>0</v>
      </c>
      <c r="M63" s="20">
        <f>'BREAKDOWN AHT'!Y64</f>
        <v>0</v>
      </c>
      <c r="N63" s="20">
        <f>'BREAKDOWN AHT'!Z64</f>
        <v>0</v>
      </c>
      <c r="O63" s="20">
        <f>'BREAKDOWN AHT'!AA64</f>
        <v>0</v>
      </c>
      <c r="P63" s="20">
        <f>'BREAKDOWN AHT'!AB64</f>
        <v>0</v>
      </c>
      <c r="Q63" s="20">
        <f>'BREAKDOWN AHT'!AC64</f>
        <v>0</v>
      </c>
      <c r="R63" s="20">
        <f>'BREAKDOWN AHT'!AD64</f>
        <v>0</v>
      </c>
      <c r="T63" s="23">
        <v>0.94791666666666663</v>
      </c>
      <c r="U63" s="18">
        <f>'BREAKDOWN SHRINKAGE'!X64</f>
        <v>0.14999999999999997</v>
      </c>
      <c r="V63" s="18">
        <f>'BREAKDOWN SHRINKAGE'!Y64</f>
        <v>0.15</v>
      </c>
      <c r="W63" s="18">
        <f>'BREAKDOWN SHRINKAGE'!Z64</f>
        <v>0.15</v>
      </c>
      <c r="X63" s="18">
        <f>'BREAKDOWN SHRINKAGE'!AA64</f>
        <v>0.15</v>
      </c>
      <c r="Y63" s="18">
        <f>'BREAKDOWN SHRINKAGE'!AB64</f>
        <v>0.15</v>
      </c>
      <c r="Z63" s="18">
        <f>'BREAKDOWN SHRINKAGE'!AC64</f>
        <v>0.15</v>
      </c>
      <c r="AA63" s="18">
        <f>'BREAKDOWN SHRINKAGE'!AD64</f>
        <v>0.15</v>
      </c>
      <c r="AC63" s="23">
        <v>0.94791666666666663</v>
      </c>
      <c r="AD63" s="25">
        <v>0.75</v>
      </c>
      <c r="AE63" s="25">
        <v>0.75</v>
      </c>
      <c r="AF63" s="25">
        <v>0.75</v>
      </c>
      <c r="AG63" s="25">
        <v>0.75</v>
      </c>
      <c r="AH63" s="25">
        <v>0.75</v>
      </c>
      <c r="AI63" s="25">
        <v>0.75</v>
      </c>
      <c r="AJ63" s="25">
        <v>0.75</v>
      </c>
      <c r="AL63" s="23">
        <v>0.94791666666666663</v>
      </c>
      <c r="AM63" s="4">
        <f t="shared" si="1"/>
        <v>0</v>
      </c>
      <c r="AN63" s="4">
        <f t="shared" si="2"/>
        <v>0</v>
      </c>
      <c r="AO63" s="4">
        <f t="shared" si="3"/>
        <v>0</v>
      </c>
      <c r="AP63" s="4">
        <f t="shared" si="4"/>
        <v>0</v>
      </c>
      <c r="AQ63" s="4">
        <f t="shared" si="5"/>
        <v>0</v>
      </c>
      <c r="AR63" s="4">
        <f t="shared" si="6"/>
        <v>0</v>
      </c>
      <c r="AS63" s="4">
        <f t="shared" si="7"/>
        <v>0</v>
      </c>
      <c r="AU63" s="23"/>
    </row>
    <row r="64" spans="2:47" x14ac:dyDescent="0.3">
      <c r="B64" s="24">
        <v>0.95833333333333337</v>
      </c>
      <c r="C64" s="4">
        <f>'BREAKDOWN CALL VOLUME'!W65</f>
        <v>0</v>
      </c>
      <c r="D64" s="4">
        <f>'BREAKDOWN CALL VOLUME'!X65</f>
        <v>0</v>
      </c>
      <c r="E64" s="4">
        <f>'BREAKDOWN CALL VOLUME'!Y65</f>
        <v>2.4553845312169464</v>
      </c>
      <c r="F64" s="4">
        <f>'BREAKDOWN CALL VOLUME'!Z65</f>
        <v>0</v>
      </c>
      <c r="G64" s="4">
        <f>'BREAKDOWN CALL VOLUME'!AA65</f>
        <v>0</v>
      </c>
      <c r="H64" s="4">
        <f>'BREAKDOWN CALL VOLUME'!AB65</f>
        <v>0</v>
      </c>
      <c r="I64" s="4">
        <f>'BREAKDOWN CALL VOLUME'!AC65</f>
        <v>0</v>
      </c>
      <c r="K64" s="23">
        <v>0.95833333333333337</v>
      </c>
      <c r="L64" s="20">
        <f>'BREAKDOWN AHT'!X65</f>
        <v>0</v>
      </c>
      <c r="M64" s="20">
        <f>'BREAKDOWN AHT'!Y65</f>
        <v>0</v>
      </c>
      <c r="N64" s="20">
        <f>'BREAKDOWN AHT'!Z65</f>
        <v>0</v>
      </c>
      <c r="O64" s="20">
        <f>'BREAKDOWN AHT'!AA65</f>
        <v>0</v>
      </c>
      <c r="P64" s="20">
        <f>'BREAKDOWN AHT'!AB65</f>
        <v>0</v>
      </c>
      <c r="Q64" s="20">
        <f>'BREAKDOWN AHT'!AC65</f>
        <v>0</v>
      </c>
      <c r="R64" s="20">
        <f>'BREAKDOWN AHT'!AD65</f>
        <v>0</v>
      </c>
      <c r="T64" s="23">
        <v>0.95833333333333337</v>
      </c>
      <c r="U64" s="18">
        <f>'BREAKDOWN SHRINKAGE'!X65</f>
        <v>0.14999999999999997</v>
      </c>
      <c r="V64" s="18">
        <f>'BREAKDOWN SHRINKAGE'!Y65</f>
        <v>0.15</v>
      </c>
      <c r="W64" s="18">
        <f>'BREAKDOWN SHRINKAGE'!Z65</f>
        <v>0.15</v>
      </c>
      <c r="X64" s="18">
        <f>'BREAKDOWN SHRINKAGE'!AA65</f>
        <v>0.15</v>
      </c>
      <c r="Y64" s="18">
        <f>'BREAKDOWN SHRINKAGE'!AB65</f>
        <v>0.15</v>
      </c>
      <c r="Z64" s="18">
        <f>'BREAKDOWN SHRINKAGE'!AC65</f>
        <v>0.15</v>
      </c>
      <c r="AA64" s="18">
        <f>'BREAKDOWN SHRINKAGE'!AD65</f>
        <v>0.15</v>
      </c>
      <c r="AC64" s="23">
        <v>0.95833333333333337</v>
      </c>
      <c r="AD64" s="25">
        <v>0.75</v>
      </c>
      <c r="AE64" s="25">
        <v>0.75</v>
      </c>
      <c r="AF64" s="25">
        <v>0.75</v>
      </c>
      <c r="AG64" s="25">
        <v>0.75</v>
      </c>
      <c r="AH64" s="25">
        <v>0.75</v>
      </c>
      <c r="AI64" s="25">
        <v>0.75</v>
      </c>
      <c r="AJ64" s="25">
        <v>0.75</v>
      </c>
      <c r="AL64" s="23">
        <v>0.95833333333333337</v>
      </c>
      <c r="AM64" s="4">
        <f t="shared" si="1"/>
        <v>0</v>
      </c>
      <c r="AN64" s="4">
        <f t="shared" si="2"/>
        <v>0</v>
      </c>
      <c r="AO64" s="4">
        <f t="shared" si="3"/>
        <v>0</v>
      </c>
      <c r="AP64" s="4">
        <f t="shared" si="4"/>
        <v>0</v>
      </c>
      <c r="AQ64" s="4">
        <f t="shared" si="5"/>
        <v>0</v>
      </c>
      <c r="AR64" s="4">
        <f t="shared" si="6"/>
        <v>0</v>
      </c>
      <c r="AS64" s="4">
        <f t="shared" si="7"/>
        <v>0</v>
      </c>
      <c r="AU64" s="23"/>
    </row>
    <row r="65" spans="2:47" x14ac:dyDescent="0.3">
      <c r="B65" s="9" t="s">
        <v>18</v>
      </c>
      <c r="C65" s="4">
        <f>'BREAKDOWN CALL VOLUME'!W66</f>
        <v>1868.4856906282814</v>
      </c>
      <c r="D65" s="4">
        <f>'BREAKDOWN CALL VOLUME'!X66</f>
        <v>1894.5028123975685</v>
      </c>
      <c r="E65" s="4">
        <f>'BREAKDOWN CALL VOLUME'!Y66</f>
        <v>1895.6121401488697</v>
      </c>
      <c r="F65" s="4">
        <f>'BREAKDOWN CALL VOLUME'!Z66</f>
        <v>1738.8459264084104</v>
      </c>
      <c r="G65" s="4">
        <f>'BREAKDOWN CALL VOLUME'!AA66</f>
        <v>1590.9899687727741</v>
      </c>
      <c r="H65" s="4">
        <f>'BREAKDOWN CALL VOLUME'!AB66</f>
        <v>1180.8004098049887</v>
      </c>
      <c r="I65" s="4">
        <f>'BREAKDOWN CALL VOLUME'!AC66</f>
        <v>731.7630518391079</v>
      </c>
      <c r="K65" s="8" t="s">
        <v>18</v>
      </c>
      <c r="L65" s="20">
        <f>'BREAKDOWN AHT'!X66</f>
        <v>1207.4208968236833</v>
      </c>
      <c r="M65" s="20">
        <f>'BREAKDOWN AHT'!Y66</f>
        <v>1171.6331997409222</v>
      </c>
      <c r="N65" s="20">
        <f>'BREAKDOWN AHT'!Z66</f>
        <v>1209.9065284223884</v>
      </c>
      <c r="O65" s="20">
        <f>'BREAKDOWN AHT'!AA66</f>
        <v>1247.7465963807381</v>
      </c>
      <c r="P65" s="20">
        <f>'BREAKDOWN AHT'!AB66</f>
        <v>1203.9592356628116</v>
      </c>
      <c r="Q65" s="20">
        <f>'BREAKDOWN AHT'!AC66</f>
        <v>1322.8500061640138</v>
      </c>
      <c r="R65" s="20">
        <f>'BREAKDOWN AHT'!AD66</f>
        <v>1117.0848972055549</v>
      </c>
      <c r="T65" s="8" t="s">
        <v>18</v>
      </c>
      <c r="U65" s="18">
        <f>'BREAKDOWN SHRINKAGE'!X66</f>
        <v>0.15000000000000005</v>
      </c>
      <c r="V65" s="18">
        <f>'BREAKDOWN SHRINKAGE'!Y66</f>
        <v>0.14999999999999994</v>
      </c>
      <c r="W65" s="18">
        <f>'BREAKDOWN SHRINKAGE'!Z66</f>
        <v>0.14999999999999997</v>
      </c>
      <c r="X65" s="18">
        <f>'BREAKDOWN SHRINKAGE'!AA66</f>
        <v>0.14999999999999997</v>
      </c>
      <c r="Y65" s="18">
        <f>'BREAKDOWN SHRINKAGE'!AB66</f>
        <v>0.15000000000000002</v>
      </c>
      <c r="Z65" s="18">
        <f>'BREAKDOWN SHRINKAGE'!AC66</f>
        <v>0.15000000000000002</v>
      </c>
      <c r="AA65" s="18">
        <f>'BREAKDOWN SHRINKAGE'!AD66</f>
        <v>0.14999999999999994</v>
      </c>
      <c r="AC65" s="8" t="s">
        <v>18</v>
      </c>
      <c r="AD65" s="25">
        <v>0.75</v>
      </c>
      <c r="AE65" s="25">
        <v>0.75</v>
      </c>
      <c r="AF65" s="25">
        <v>0.75</v>
      </c>
      <c r="AG65" s="25">
        <v>0.75</v>
      </c>
      <c r="AH65" s="25">
        <v>0.75</v>
      </c>
      <c r="AI65" s="25">
        <v>0.75</v>
      </c>
      <c r="AJ65" s="25">
        <v>0.75</v>
      </c>
      <c r="AL65" s="8" t="s">
        <v>33</v>
      </c>
      <c r="AM65" s="4">
        <f>SUM(AM4:AM64)/2</f>
        <v>835.57358084467353</v>
      </c>
      <c r="AN65" s="4">
        <f t="shared" ref="AN65:AS65" si="8">SUM(AN4:AN64)/2</f>
        <v>822.09718222501488</v>
      </c>
      <c r="AO65" s="4">
        <f t="shared" si="8"/>
        <v>849.44944582327844</v>
      </c>
      <c r="AP65" s="4">
        <f t="shared" si="8"/>
        <v>803.57003196540938</v>
      </c>
      <c r="AQ65" s="4">
        <f t="shared" si="8"/>
        <v>709.43965435217365</v>
      </c>
      <c r="AR65" s="4">
        <f t="shared" si="8"/>
        <v>578.52660347740698</v>
      </c>
      <c r="AS65" s="4">
        <f t="shared" si="8"/>
        <v>302.75609390463433</v>
      </c>
      <c r="AT65" s="5">
        <f>SUM(AM65:AS65)</f>
        <v>4901.412592592591</v>
      </c>
      <c r="AU65" s="8"/>
    </row>
    <row r="66" spans="2:47" x14ac:dyDescent="0.3">
      <c r="AL66" s="9" t="s">
        <v>35</v>
      </c>
      <c r="AM66" s="4">
        <f>AM65/8</f>
        <v>104.44669760558419</v>
      </c>
      <c r="AN66" s="4">
        <f t="shared" ref="AN66:AS66" si="9">AN65/8</f>
        <v>102.76214777812686</v>
      </c>
      <c r="AO66" s="4">
        <f t="shared" si="9"/>
        <v>106.1811807279098</v>
      </c>
      <c r="AP66" s="4">
        <f t="shared" si="9"/>
        <v>100.44625399567617</v>
      </c>
      <c r="AQ66" s="4">
        <f t="shared" si="9"/>
        <v>88.679956794021706</v>
      </c>
      <c r="AR66" s="4">
        <f t="shared" si="9"/>
        <v>72.315825434675872</v>
      </c>
      <c r="AS66" s="4">
        <f t="shared" si="9"/>
        <v>37.844511738079291</v>
      </c>
    </row>
    <row r="67" spans="2:47" x14ac:dyDescent="0.3">
      <c r="AL67" s="7" t="s">
        <v>34</v>
      </c>
      <c r="AM67" s="4">
        <f>AM66/0.85</f>
        <v>122.87846777127552</v>
      </c>
      <c r="AN67" s="4">
        <f t="shared" ref="AN67:AS67" si="10">AN66/0.85</f>
        <v>120.89664444485513</v>
      </c>
      <c r="AO67" s="4">
        <f>AO66/0.85</f>
        <v>124.91903615048213</v>
      </c>
      <c r="AP67" s="4">
        <f t="shared" si="10"/>
        <v>118.17206352432491</v>
      </c>
      <c r="AQ67" s="4">
        <f t="shared" si="10"/>
        <v>104.32936093414318</v>
      </c>
      <c r="AR67" s="4">
        <f t="shared" si="10"/>
        <v>85.077441687853977</v>
      </c>
      <c r="AS67" s="4">
        <f t="shared" si="10"/>
        <v>44.522954985975637</v>
      </c>
    </row>
    <row r="68" spans="2:47" x14ac:dyDescent="0.3">
      <c r="AM68" s="11">
        <f>AM65/$AT$65</f>
        <v>0.17047607502120093</v>
      </c>
      <c r="AN68" s="11">
        <f t="shared" ref="AN68:AS68" si="11">AN65/$AT$65</f>
        <v>0.16772658222395606</v>
      </c>
      <c r="AO68" s="11">
        <f t="shared" si="11"/>
        <v>0.17330706806993454</v>
      </c>
      <c r="AP68" s="11">
        <f t="shared" si="11"/>
        <v>0.16394662085371656</v>
      </c>
      <c r="AQ68" s="11">
        <f t="shared" si="11"/>
        <v>0.1447418761326757</v>
      </c>
      <c r="AR68" s="11">
        <f t="shared" si="11"/>
        <v>0.11803262682919674</v>
      </c>
      <c r="AS68" s="11">
        <f t="shared" si="11"/>
        <v>6.1769150869319528E-2</v>
      </c>
    </row>
    <row r="70" spans="2:47" x14ac:dyDescent="0.3">
      <c r="C70" s="7" t="s">
        <v>44</v>
      </c>
    </row>
    <row r="71" spans="2:47" x14ac:dyDescent="0.3">
      <c r="C71" s="7" t="s">
        <v>45</v>
      </c>
    </row>
  </sheetData>
  <conditionalFormatting sqref="C4:I64">
    <cfRule type="colorScale" priority="3">
      <colorScale>
        <cfvo type="min"/>
        <cfvo type="max"/>
        <color rgb="FFFCFCFF"/>
        <color rgb="FFF8696B"/>
      </colorScale>
    </cfRule>
  </conditionalFormatting>
  <conditionalFormatting sqref="C65:I6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L64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4:R64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5:R6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6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4:N6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4:O64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4:P6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:Q64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4:R6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4:AS64">
    <cfRule type="colorScale" priority="6">
      <colorScale>
        <cfvo type="min"/>
        <cfvo type="max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67:AS6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</vt:lpstr>
      <vt:lpstr>BREAKDOWN CALL VOLUME</vt:lpstr>
      <vt:lpstr>BREAKDOWN AHT</vt:lpstr>
      <vt:lpstr>BREAKDOWN SHRINKAGE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Mera</dc:creator>
  <cp:lastModifiedBy>Fabian Mera</cp:lastModifiedBy>
  <dcterms:created xsi:type="dcterms:W3CDTF">2025-11-18T13:48:39Z</dcterms:created>
  <dcterms:modified xsi:type="dcterms:W3CDTF">2025-11-23T17:46:49Z</dcterms:modified>
</cp:coreProperties>
</file>